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<sst xmlns="http://schemas.openxmlformats.org/spreadsheetml/2006/main" count="21" uniqueCount="20">
  <si>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     车牌号
电箱数</t>
  </si>
  <si>
    <t>民航A-C2925</t>
  </si>
  <si>
    <t>民航A-C2927</t>
  </si>
  <si>
    <t>民航A-C2924</t>
  </si>
  <si>
    <t>民航A-C2929</t>
  </si>
  <si>
    <t>民航A-C2912</t>
  </si>
  <si>
    <t>民航A-C2930</t>
  </si>
  <si>
    <t>民航A-C2918</t>
  </si>
  <si>
    <t>民航A-C2926</t>
  </si>
  <si>
    <t>民航A-C2919</t>
  </si>
  <si>
    <t>总价</t>
  </si>
  <si>
    <t>电箱数量</t>
  </si>
  <si>
    <t>单箱检测单价</t>
  </si>
  <si>
    <t>检测合计</t>
  </si>
  <si>
    <t>单箱气密单价</t>
  </si>
  <si>
    <t>气密合计</t>
  </si>
  <si>
    <t>里程</t>
  </si>
  <si>
    <t>单价</t>
  </si>
  <si>
    <t>里程合计</t>
  </si>
  <si>
    <t>实际支付金额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</si>
</sst>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O23" sqref="O23"/>
    </sheetView>
  </sheetViews>
  <sheetFormatPr defaultColWidth="9" defaultRowHeight="13.5"/>
  <cols>
    <col min="1" max="1" width="13.75" customWidth="1"/>
    <col min="2" max="12" width="11.375" style="1" customWidth="1"/>
    <col min="13" max="14" width="11.375" customWidth="1"/>
  </cols>
  <sheetData>
    <row r="1" ht="27" customHeight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" customHeight="1" spans="1:11">
      <c r="A2" s="1" t="s">
        <v>11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4</v>
      </c>
    </row>
    <row r="3" ht="17" customHeight="1" spans="1:11">
      <c r="A3" s="1" t="s">
        <v>12</v>
      </c>
      <c r="B3" s="1">
        <f>7*80</f>
        <v>560</v>
      </c>
      <c r="C3" s="1">
        <f t="shared" ref="C3:J3" si="0">7*80</f>
        <v>560</v>
      </c>
      <c r="D3" s="1">
        <f t="shared" si="0"/>
        <v>560</v>
      </c>
      <c r="E3" s="1">
        <f t="shared" si="0"/>
        <v>560</v>
      </c>
      <c r="F3" s="1">
        <f t="shared" si="0"/>
        <v>560</v>
      </c>
      <c r="G3" s="1">
        <f t="shared" si="0"/>
        <v>560</v>
      </c>
      <c r="H3" s="1">
        <f t="shared" si="0"/>
        <v>560</v>
      </c>
      <c r="I3" s="1">
        <f t="shared" si="0"/>
        <v>560</v>
      </c>
      <c r="J3" s="1">
        <f t="shared" si="0"/>
        <v>560</v>
      </c>
    </row>
    <row r="4" ht="17" customHeight="1" spans="1:11">
      <c r="A4" s="3" t="s">
        <v>13</v>
      </c>
      <c r="B4" s="3">
        <f>B3</f>
        <v>560</v>
      </c>
      <c r="C4" s="3">
        <f>C3</f>
        <v>560</v>
      </c>
      <c r="D4" s="3">
        <f t="shared" ref="C4:J4" si="1">D3</f>
        <v>560</v>
      </c>
      <c r="E4" s="3">
        <f t="shared" si="1"/>
        <v>560</v>
      </c>
      <c r="F4" s="3">
        <f t="shared" si="1"/>
        <v>560</v>
      </c>
      <c r="G4" s="3">
        <f t="shared" si="1"/>
        <v>560</v>
      </c>
      <c r="H4" s="3">
        <f t="shared" si="1"/>
        <v>560</v>
      </c>
      <c r="I4" s="3">
        <f t="shared" si="1"/>
        <v>560</v>
      </c>
      <c r="J4" s="3">
        <f t="shared" si="1"/>
        <v>560</v>
      </c>
      <c r="K4" s="1">
        <f>B4+C4+D4+E4+F4+G4+H4+I4</f>
        <v>4480</v>
      </c>
    </row>
    <row r="5" ht="17" customHeight="1" spans="1:11">
      <c r="A5" s="1"/>
    </row>
    <row r="6" ht="17" customHeight="1" spans="1:11">
      <c r="A6" s="1" t="s">
        <v>14</v>
      </c>
      <c r="G6" s="1">
        <v>4</v>
      </c>
      <c r="H6" s="1">
        <v>4</v>
      </c>
      <c r="I6" s="1">
        <v>4</v>
      </c>
      <c r="J6" s="1">
        <v>4</v>
      </c>
    </row>
    <row r="7" ht="17" customHeight="1" spans="1:11">
      <c r="A7" s="1" t="s">
        <v>14</v>
      </c>
      <c r="G7" s="1">
        <v>300</v>
      </c>
      <c r="H7" s="1">
        <v>300</v>
      </c>
      <c r="I7" s="1">
        <v>300</v>
      </c>
      <c r="J7" s="1">
        <v>300</v>
      </c>
    </row>
    <row r="8" ht="17" customHeight="1" spans="1:11">
      <c r="A8" s="3" t="s">
        <v>15</v>
      </c>
      <c r="B8" s="3"/>
      <c r="C8" s="3"/>
      <c r="D8" s="3"/>
      <c r="E8" s="3"/>
      <c r="F8" s="3"/>
      <c r="G8" s="3">
        <f>G6*G7</f>
        <v>1200</v>
      </c>
      <c r="H8" s="3">
        <f>H6*H7</f>
        <v>1200</v>
      </c>
      <c r="I8" s="3">
        <f>I6*I7</f>
        <v>1200</v>
      </c>
      <c r="J8" s="3">
        <f>J6*J7</f>
        <v>1200</v>
      </c>
      <c r="K8" s="1">
        <f>J8+I8+H8+G8</f>
        <v>4800</v>
      </c>
    </row>
    <row r="9" ht="17" customHeight="1" spans="1:11">
      <c r="A9" s="1"/>
    </row>
    <row r="10" ht="17" customHeight="1" spans="1:11">
      <c r="A10" s="1" t="s">
        <v>16</v>
      </c>
      <c r="J10" s="1">
        <f>38*4</f>
        <v>152</v>
      </c>
    </row>
    <row r="11" ht="17" customHeight="1" spans="1:11">
      <c r="A11" s="1" t="s">
        <v>17</v>
      </c>
      <c r="J11" s="1">
        <v>6</v>
      </c>
    </row>
    <row r="12" spans="1:11">
      <c r="A12" s="3" t="s">
        <v>18</v>
      </c>
      <c r="B12" s="3"/>
      <c r="C12" s="3"/>
      <c r="D12" s="3"/>
      <c r="E12" s="3"/>
      <c r="F12" s="3"/>
      <c r="G12" s="3"/>
      <c r="H12" s="3"/>
      <c r="I12" s="3"/>
      <c r="J12" s="3">
        <f>J10*J11</f>
        <v>912</v>
      </c>
      <c r="K12" s="1">
        <f>J12</f>
        <v>912</v>
      </c>
    </row>
    <row r="13" spans="1:11">
      <c r="A13" s="1"/>
    </row>
    <row r="14" spans="1:11">
      <c r="A14" s="1"/>
    </row>
    <row r="15" spans="1:11">
      <c r="A15" s="1" t="s">
        <v>19</v>
      </c>
      <c r="K15" s="1">
        <f>K4+K8+K12</f>
        <v>10192</v>
      </c>
    </row>
    <row r="16" spans="1:1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 乔 乔</cp:lastModifiedBy>
  <dcterms:created xsi:type="dcterms:W3CDTF">2023-05-12T11:15:00Z</dcterms:created>
  <dcterms:modified xsi:type="dcterms:W3CDTF">2026-01-26T02:36:29Z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88B67209EF084A93A44053356D70B62C_12</vt:lpwstr>
  </property>
  <property fmtid="{D5CDD505-2E9C-101B-9397-08002B2CF9AE}" pid="4" name="CalculationRule">
    <vt:i4>0</vt:i4>
  </property>
</Properties>
</file>