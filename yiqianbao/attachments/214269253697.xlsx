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过账类业务送货是长和科技委托合作供应商发货的，此处签章则是委托送货供应商填写即可</t>
        </r>
      </text>
    </comment>
  </commentList>
</comments>
</file>

<file path=xl/sharedStrings.xml><?xml version="1.0" encoding="utf-8"?>
<sst xmlns="http://schemas.openxmlformats.org/spreadsheetml/2006/main" count="37" uniqueCount="26">
  <si>
    <r>
      <rPr>
        <b/>
        <sz val="16"/>
        <rFont val="宋体"/>
        <charset val="134"/>
        <scheme val="minor"/>
      </rPr>
      <t>长澜</t>
    </r>
    <r>
      <rPr>
        <b/>
        <sz val="16"/>
        <rFont val="宋体"/>
        <charset val="134"/>
      </rPr>
      <t>店_8_月对账单</t>
    </r>
  </si>
  <si>
    <r>
      <rPr>
        <sz val="11"/>
        <rFont val="宋体"/>
        <charset val="134"/>
      </rPr>
      <t>客户</t>
    </r>
    <r>
      <rPr>
        <sz val="9"/>
        <rFont val="宋体"/>
        <charset val="134"/>
      </rPr>
      <t>（销售店）</t>
    </r>
    <r>
      <rPr>
        <sz val="11"/>
        <rFont val="宋体"/>
        <charset val="134"/>
      </rPr>
      <t>：</t>
    </r>
  </si>
  <si>
    <t>北京长澜汽车销售有限公司</t>
  </si>
  <si>
    <t>送货方：</t>
  </si>
  <si>
    <t>宁家（北京）汽车服务有限公司</t>
  </si>
  <si>
    <t>对账日期：</t>
  </si>
  <si>
    <t>2026.3.12</t>
  </si>
  <si>
    <t>序号</t>
  </si>
  <si>
    <r>
      <rPr>
        <sz val="10"/>
        <rFont val="宋体"/>
        <charset val="134"/>
        <scheme val="minor"/>
      </rPr>
      <t>送货</t>
    </r>
    <r>
      <rPr>
        <sz val="10"/>
        <color indexed="10"/>
        <rFont val="宋体"/>
        <charset val="134"/>
      </rPr>
      <t>月份</t>
    </r>
  </si>
  <si>
    <t>名称</t>
  </si>
  <si>
    <t>单位</t>
  </si>
  <si>
    <t>数量</t>
  </si>
  <si>
    <t>对店结算单价
（含税）</t>
  </si>
  <si>
    <t>对店结算金额
（含税）</t>
  </si>
  <si>
    <t>备注</t>
  </si>
  <si>
    <t>8月</t>
  </si>
  <si>
    <t>个</t>
  </si>
  <si>
    <t>9月</t>
  </si>
  <si>
    <t>11月</t>
  </si>
  <si>
    <t>12月</t>
  </si>
  <si>
    <t>1月</t>
  </si>
  <si>
    <t>数量&amp;金额合计：</t>
  </si>
  <si>
    <t>送货公司（盖章）：</t>
  </si>
  <si>
    <t>收货方（销售店）公司（盖章）：</t>
  </si>
  <si>
    <t>签字：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</si>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</sst>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</numFmts>
  <fonts count="40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b/>
      <sz val="1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sz val="9"/>
      <name val="Tahoma"/>
      <charset val="134"/>
    </font>
    <font>
      <sz val="9"/>
      <name val="宋体"/>
      <charset val="134"/>
    </font>
    <font>
      <b/>
      <sz val="1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宋体"/>
      <charset val="134"/>
    </font>
    <font>
      <sz val="10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4" borderId="13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4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4" fillId="0" borderId="0">
      <alignment vertical="center"/>
    </xf>
    <xf numFmtId="0" fontId="25" fillId="5" borderId="16">
      <alignment vertical="center"/>
    </xf>
    <xf numFmtId="0" fontId="26" fillId="6" borderId="17">
      <alignment vertical="center"/>
    </xf>
    <xf numFmtId="0" fontId="27" fillId="6" borderId="16">
      <alignment vertical="center"/>
    </xf>
    <xf numFmtId="0" fontId="28" fillId="7" borderId="18">
      <alignment vertical="center"/>
    </xf>
    <xf numFmtId="0" fontId="29" fillId="0" borderId="19">
      <alignment vertical="center"/>
    </xf>
    <xf numFmtId="0" fontId="30" fillId="0" borderId="20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5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4" fillId="34" borderId="0">
      <alignment vertical="center"/>
    </xf>
    <xf numFmtId="0" fontId="5" fillId="0" borderId="0"/>
  </cellStyleXfs>
  <cellXfs count="41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0" borderId="0" xfId="49" applyFont="1" applyAlignment="1">
      <alignment horizontal="left" vertical="center" wrapText="1"/>
    </xf>
    <xf numFmtId="0" fontId="4" fillId="0" borderId="0" xfId="49" applyFont="1" applyAlignment="1">
      <alignment horizontal="left" vertical="center" wrapText="1"/>
    </xf>
    <xf numFmtId="0" fontId="5" fillId="0" borderId="0" xfId="49" applyAlignment="1">
      <alignment horizontal="left" vertical="center" wrapText="1"/>
    </xf>
    <xf numFmtId="0" fontId="5" fillId="0" borderId="0" xfId="49" applyAlignment="1">
      <alignment vertical="center" wrapText="1"/>
    </xf>
    <xf numFmtId="0" fontId="6" fillId="0" borderId="0" xfId="49" applyFont="1" applyAlignment="1">
      <alignment horizontal="right" vertical="center" wrapText="1"/>
    </xf>
    <xf numFmtId="0" fontId="6" fillId="0" borderId="0" xfId="49" applyFont="1" applyAlignment="1">
      <alignment horizontal="center" vertical="center" wrapText="1"/>
    </xf>
    <xf numFmtId="0" fontId="7" fillId="0" borderId="1" xfId="49" applyFont="1" applyBorder="1" applyAlignment="1">
      <alignment horizontal="left" vertical="center" wrapText="1"/>
    </xf>
    <xf numFmtId="0" fontId="5" fillId="0" borderId="1" xfId="49" applyBorder="1" applyAlignment="1">
      <alignment horizontal="left" vertical="center" wrapText="1"/>
    </xf>
    <xf numFmtId="0" fontId="3" fillId="0" borderId="0" xfId="49" applyFont="1" applyAlignment="1">
      <alignment horizontal="center" vertical="center" wrapText="1"/>
    </xf>
    <xf numFmtId="14" fontId="8" fillId="0" borderId="0" xfId="49" applyNumberFormat="1" applyFont="1" applyAlignment="1">
      <alignment horizontal="center" vertical="center" wrapText="1"/>
    </xf>
    <xf numFmtId="0" fontId="5" fillId="0" borderId="0" xfId="49"/>
    <xf numFmtId="0" fontId="9" fillId="0" borderId="2" xfId="49" applyFont="1" applyBorder="1" applyAlignment="1">
      <alignment horizontal="center" vertical="center" wrapText="1"/>
    </xf>
    <xf numFmtId="0" fontId="9" fillId="0" borderId="3" xfId="49" applyFont="1" applyBorder="1" applyAlignment="1">
      <alignment horizontal="center" vertical="center" wrapText="1"/>
    </xf>
    <xf numFmtId="0" fontId="9" fillId="0" borderId="4" xfId="49" applyFont="1" applyBorder="1" applyAlignment="1">
      <alignment horizontal="center" vertical="center" wrapText="1"/>
    </xf>
    <xf numFmtId="0" fontId="9" fillId="0" borderId="5" xfId="49" applyFont="1" applyBorder="1" applyAlignment="1">
      <alignment horizontal="center" vertical="center" wrapText="1"/>
    </xf>
    <xf numFmtId="14" fontId="10" fillId="0" borderId="6" xfId="49" applyNumberFormat="1" applyFont="1" applyBorder="1" applyAlignment="1">
      <alignment horizontal="center" vertical="center" wrapText="1"/>
    </xf>
    <xf numFmtId="49" fontId="11" fillId="0" borderId="6" xfId="49" applyNumberFormat="1" applyFont="1" applyBorder="1" applyAlignment="1">
      <alignment horizontal="center" vertical="center" wrapText="1"/>
    </xf>
    <xf numFmtId="176" fontId="12" fillId="2" borderId="6" xfId="49" applyNumberFormat="1" applyFont="1" applyFill="1" applyBorder="1" applyAlignment="1">
      <alignment horizontal="center" vertical="center"/>
    </xf>
    <xf numFmtId="0" fontId="13" fillId="0" borderId="6" xfId="49" applyFont="1" applyBorder="1" applyAlignment="1">
      <alignment horizontal="center" vertical="center" wrapText="1"/>
    </xf>
    <xf numFmtId="4" fontId="13" fillId="0" borderId="6" xfId="49" applyNumberFormat="1" applyFont="1" applyBorder="1" applyAlignment="1">
      <alignment horizontal="center" vertical="center" wrapText="1"/>
    </xf>
    <xf numFmtId="177" fontId="9" fillId="0" borderId="6" xfId="49" applyNumberFormat="1" applyFont="1" applyBorder="1" applyAlignment="1">
      <alignment horizontal="center" vertical="center" wrapText="1"/>
    </xf>
    <xf numFmtId="0" fontId="9" fillId="0" borderId="7" xfId="49" applyFont="1" applyBorder="1" applyAlignment="1">
      <alignment horizontal="center" vertical="center" wrapText="1"/>
    </xf>
    <xf numFmtId="49" fontId="14" fillId="0" borderId="6" xfId="49" applyNumberFormat="1" applyFont="1" applyBorder="1" applyAlignment="1">
      <alignment horizontal="center" vertical="center" wrapText="1"/>
    </xf>
    <xf numFmtId="0" fontId="9" fillId="0" borderId="8" xfId="49" applyFont="1" applyBorder="1" applyAlignment="1">
      <alignment horizontal="center" vertical="center" wrapText="1"/>
    </xf>
    <xf numFmtId="14" fontId="9" fillId="0" borderId="6" xfId="49" applyNumberFormat="1" applyFont="1" applyBorder="1" applyAlignment="1">
      <alignment horizontal="center" vertical="center" wrapText="1"/>
    </xf>
    <xf numFmtId="0" fontId="9" fillId="0" borderId="7" xfId="49" applyFont="1" applyBorder="1" applyAlignment="1">
      <alignment horizontal="center" vertical="center" wrapText="1"/>
    </xf>
    <xf numFmtId="0" fontId="15" fillId="0" borderId="9" xfId="49" applyFont="1" applyBorder="1" applyAlignment="1">
      <alignment horizontal="center" vertical="center" wrapText="1"/>
    </xf>
    <xf numFmtId="0" fontId="15" fillId="0" borderId="10" xfId="49" applyFont="1" applyBorder="1" applyAlignment="1">
      <alignment horizontal="center" vertical="center" wrapText="1"/>
    </xf>
    <xf numFmtId="0" fontId="15" fillId="3" borderId="11" xfId="49" applyFont="1" applyFill="1" applyBorder="1" applyAlignment="1">
      <alignment horizontal="center" vertical="center" wrapText="1"/>
    </xf>
    <xf numFmtId="0" fontId="15" fillId="0" borderId="12" xfId="49" applyFont="1" applyBorder="1" applyAlignment="1">
      <alignment horizontal="center" vertical="center" wrapText="1"/>
    </xf>
    <xf numFmtId="0" fontId="15" fillId="0" borderId="11" xfId="49" applyFont="1" applyBorder="1" applyAlignment="1">
      <alignment horizontal="center" vertical="center" wrapText="1"/>
    </xf>
    <xf numFmtId="0" fontId="9" fillId="0" borderId="0" xfId="49" applyFont="1" applyAlignment="1">
      <alignment vertical="center" wrapText="1"/>
    </xf>
    <xf numFmtId="0" fontId="5" fillId="0" borderId="0" xfId="49" applyAlignment="1">
      <alignment horizontal="left" vertical="center"/>
    </xf>
    <xf numFmtId="0" fontId="16" fillId="0" borderId="0" xfId="49" applyFont="1" applyAlignment="1">
      <alignment horizontal="left" vertical="center" wrapText="1"/>
    </xf>
    <xf numFmtId="0" fontId="5" fillId="0" borderId="0" xfId="49" applyAlignment="1">
      <alignment horizontal="center" vertical="center" wrapText="1"/>
    </xf>
    <xf numFmtId="0" fontId="5" fillId="0" borderId="0" xfId="49" applyAlignment="1">
      <alignment horizontal="right" vertical="center" wrapText="1"/>
    </xf>
    <xf numFmtId="0" fontId="3" fillId="0" borderId="0" xfId="49" applyFont="1" applyAlignment="1">
      <alignment horizontal="left" vertical="center"/>
    </xf>
    <xf numFmtId="0" fontId="3" fillId="0" borderId="0" xfId="49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N15" sqref="N15:N16"/>
    </sheetView>
  </sheetViews>
  <sheetFormatPr defaultColWidth="9" defaultRowHeight="13.5"/>
  <cols>
    <col min="1" max="2" width="9.75" customWidth="1"/>
    <col min="3" max="3" width="19.125" customWidth="1"/>
    <col min="4" max="4" width="10.25" customWidth="1"/>
    <col min="5" max="5" width="11.125" customWidth="1"/>
    <col min="6" max="6" width="14.5" customWidth="1"/>
    <col min="7" max="7" width="9.75" customWidth="1"/>
    <col min="8" max="8" width="13.25" customWidth="1"/>
    <col min="9" max="17" width="9.75" customWidth="1"/>
  </cols>
  <sheetData>
    <row r="1" ht="20.2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/>
      <c r="C2" s="4" t="s">
        <v>2</v>
      </c>
      <c r="D2" s="5"/>
      <c r="E2" s="5"/>
      <c r="F2" s="6"/>
      <c r="G2" s="6"/>
      <c r="H2" s="7"/>
      <c r="I2" s="8"/>
      <c r="J2" s="7"/>
      <c r="K2" s="8"/>
    </row>
    <row r="3" ht="27.75" spans="1:11">
      <c r="A3" s="3" t="s">
        <v>3</v>
      </c>
      <c r="B3" s="3"/>
      <c r="C3" s="9" t="s">
        <v>4</v>
      </c>
      <c r="D3" s="10"/>
      <c r="E3" s="5"/>
      <c r="F3" s="6"/>
      <c r="G3" s="11" t="s">
        <v>5</v>
      </c>
      <c r="H3" s="12" t="s">
        <v>6</v>
      </c>
      <c r="I3" s="13"/>
      <c r="J3" s="7"/>
      <c r="K3" s="8"/>
    </row>
    <row r="4" ht="36" spans="1:11">
      <c r="A4" s="14" t="s">
        <v>7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12</v>
      </c>
      <c r="G4" s="15" t="s">
        <v>13</v>
      </c>
      <c r="H4" s="16" t="s">
        <v>14</v>
      </c>
      <c r="I4" s="13"/>
      <c r="J4" s="6"/>
      <c r="K4" s="6"/>
    </row>
    <row r="5" spans="1:11">
      <c r="A5" s="17">
        <v>1</v>
      </c>
      <c r="B5" s="18" t="s">
        <v>15</v>
      </c>
      <c r="C5" s="19"/>
      <c r="D5" s="20" t="s">
        <v>16</v>
      </c>
      <c r="E5" s="21">
        <v>1</v>
      </c>
      <c r="F5" s="22">
        <v>14898.11</v>
      </c>
      <c r="G5" s="23">
        <f t="shared" ref="G5:G7" si="0">F5*E5</f>
        <v>14898.11</v>
      </c>
      <c r="H5" s="24"/>
      <c r="I5" s="13"/>
      <c r="J5" s="6"/>
      <c r="K5" s="6"/>
    </row>
    <row r="6" spans="1:11">
      <c r="A6" s="17">
        <v>2</v>
      </c>
      <c r="B6" s="18" t="s">
        <v>15</v>
      </c>
      <c r="C6" s="19"/>
      <c r="D6" s="20" t="s">
        <v>16</v>
      </c>
      <c r="E6" s="21">
        <v>1</v>
      </c>
      <c r="F6" s="22">
        <v>37262.52</v>
      </c>
      <c r="G6" s="23">
        <f t="shared" si="0"/>
        <v>37262.52</v>
      </c>
      <c r="H6" s="24"/>
      <c r="I6" s="13"/>
      <c r="J6" s="6"/>
      <c r="K6" s="6"/>
    </row>
    <row r="7" spans="1:11">
      <c r="A7" s="17">
        <v>3</v>
      </c>
      <c r="B7" s="18" t="s">
        <v>17</v>
      </c>
      <c r="C7" s="19"/>
      <c r="D7" s="20" t="s">
        <v>16</v>
      </c>
      <c r="E7" s="21">
        <v>1</v>
      </c>
      <c r="F7" s="22">
        <v>27913.89</v>
      </c>
      <c r="G7" s="23">
        <f t="shared" si="0"/>
        <v>27913.89</v>
      </c>
      <c r="H7" s="24"/>
      <c r="I7" s="13"/>
      <c r="J7" s="6"/>
      <c r="K7" s="6"/>
    </row>
    <row r="8" spans="1:11">
      <c r="A8" s="17">
        <v>4</v>
      </c>
      <c r="B8" s="18" t="s">
        <v>18</v>
      </c>
      <c r="C8" s="25"/>
      <c r="D8" s="20" t="s">
        <v>16</v>
      </c>
      <c r="E8" s="21">
        <v>1</v>
      </c>
      <c r="F8" s="22">
        <v>16145.07</v>
      </c>
      <c r="G8" s="23">
        <f>F8*E8</f>
        <v>16145.07</v>
      </c>
      <c r="H8" s="26"/>
      <c r="I8" s="13"/>
      <c r="J8" s="6"/>
      <c r="K8" s="6"/>
    </row>
    <row r="9" spans="1:11">
      <c r="A9" s="17">
        <v>5</v>
      </c>
      <c r="B9" s="27" t="s">
        <v>19</v>
      </c>
      <c r="C9" s="25"/>
      <c r="D9" s="20" t="s">
        <v>16</v>
      </c>
      <c r="E9" s="21">
        <v>1</v>
      </c>
      <c r="F9" s="22">
        <v>16626.52</v>
      </c>
      <c r="G9" s="23">
        <f>F9*E9</f>
        <v>16626.52</v>
      </c>
      <c r="H9" s="28"/>
      <c r="I9" s="13"/>
      <c r="J9" s="6"/>
      <c r="K9" s="6"/>
    </row>
    <row r="10" spans="1:11">
      <c r="A10" s="17">
        <v>6</v>
      </c>
      <c r="B10" s="27" t="s">
        <v>20</v>
      </c>
      <c r="C10" s="25"/>
      <c r="D10" s="20" t="s">
        <v>16</v>
      </c>
      <c r="E10" s="21">
        <v>1</v>
      </c>
      <c r="F10" s="22">
        <v>16145.07</v>
      </c>
      <c r="G10" s="23">
        <f>F10*E10</f>
        <v>16145.07</v>
      </c>
      <c r="H10" s="28"/>
      <c r="I10" s="13"/>
      <c r="J10" s="6"/>
      <c r="K10" s="6"/>
    </row>
    <row r="11" spans="1:11">
      <c r="A11" s="17">
        <v>7</v>
      </c>
      <c r="B11" s="27"/>
      <c r="C11" s="25"/>
      <c r="D11" s="20" t="s">
        <v>16</v>
      </c>
      <c r="E11" s="21"/>
      <c r="F11" s="22"/>
      <c r="G11" s="23"/>
      <c r="H11" s="28"/>
      <c r="I11" s="13"/>
      <c r="J11" s="6"/>
      <c r="K11" s="6"/>
    </row>
    <row r="12" spans="1:11">
      <c r="A12" s="17">
        <v>8</v>
      </c>
      <c r="B12" s="27"/>
      <c r="C12" s="25"/>
      <c r="D12" s="20" t="s">
        <v>16</v>
      </c>
      <c r="E12" s="21"/>
      <c r="F12" s="22"/>
      <c r="G12" s="23"/>
      <c r="H12" s="28"/>
      <c r="I12" s="13"/>
      <c r="J12" s="6"/>
      <c r="K12" s="6"/>
    </row>
    <row r="13" spans="1:11">
      <c r="A13" s="17">
        <v>9</v>
      </c>
      <c r="B13" s="27"/>
      <c r="C13" s="25"/>
      <c r="D13" s="20" t="s">
        <v>16</v>
      </c>
      <c r="E13" s="21"/>
      <c r="F13" s="22"/>
      <c r="G13" s="23"/>
      <c r="H13" s="24"/>
      <c r="I13" s="13"/>
      <c r="J13" s="6"/>
      <c r="K13" s="6"/>
    </row>
    <row r="14" ht="14.25" spans="1:11">
      <c r="A14" s="29" t="s">
        <v>21</v>
      </c>
      <c r="B14" s="30"/>
      <c r="C14" s="30"/>
      <c r="D14" s="30"/>
      <c r="E14" s="31">
        <f>SUM(E5:E13)</f>
        <v>6</v>
      </c>
      <c r="F14" s="32"/>
      <c r="G14" s="31">
        <f>SUM(G5:G13)</f>
        <v>128991.18</v>
      </c>
      <c r="H14" s="33"/>
      <c r="I14" s="13"/>
      <c r="J14" s="34"/>
      <c r="K14" s="34"/>
    </row>
    <row r="15" ht="14.25" spans="1:11">
      <c r="A15" s="35"/>
      <c r="B15" s="6"/>
      <c r="C15" s="36"/>
      <c r="D15" s="5"/>
      <c r="E15" s="5"/>
      <c r="F15" s="5"/>
      <c r="G15" s="5"/>
      <c r="H15" s="5"/>
      <c r="I15" s="5"/>
      <c r="J15" s="5"/>
      <c r="K15" s="5"/>
    </row>
    <row r="16" spans="1:11">
      <c r="A16" s="37"/>
      <c r="B16" s="37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38" t="s">
        <v>22</v>
      </c>
      <c r="B18" s="38"/>
      <c r="C18" s="38"/>
      <c r="D18" s="6"/>
      <c r="E18" s="6"/>
      <c r="F18" s="39" t="s">
        <v>23</v>
      </c>
      <c r="G18" s="39"/>
      <c r="H18" s="39"/>
      <c r="I18" s="40"/>
      <c r="J18" s="6"/>
      <c r="K18" s="6"/>
    </row>
    <row r="19" spans="1:11">
      <c r="A19" s="6"/>
      <c r="B19" s="6"/>
      <c r="C19" s="38" t="s">
        <v>24</v>
      </c>
      <c r="D19" s="38"/>
      <c r="E19" s="6"/>
      <c r="F19" s="6"/>
      <c r="G19" s="6"/>
      <c r="H19" s="38" t="s">
        <v>24</v>
      </c>
      <c r="I19" s="6"/>
      <c r="J19" s="6"/>
      <c r="K19" s="6"/>
    </row>
    <row r="20" spans="1:11">
      <c r="A20" s="6"/>
      <c r="B20" s="6"/>
      <c r="C20" s="38" t="s">
        <v>25</v>
      </c>
      <c r="D20" s="38"/>
      <c r="E20" s="6"/>
      <c r="F20" s="6"/>
      <c r="G20" s="6"/>
      <c r="H20" s="38" t="s">
        <v>25</v>
      </c>
      <c r="I20" s="6"/>
      <c r="J20" s="6"/>
      <c r="K20" s="6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9">
    <mergeCell ref="A1:H1"/>
    <mergeCell ref="A2:B2"/>
    <mergeCell ref="C2:E2"/>
    <mergeCell ref="A3:B3"/>
    <mergeCell ref="C3:D3"/>
    <mergeCell ref="A14:D14"/>
    <mergeCell ref="C15:K15"/>
    <mergeCell ref="A18:C18"/>
    <mergeCell ref="F18:H18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 乔 乔</cp:lastModifiedBy>
  <dcterms:created xsi:type="dcterms:W3CDTF">2023-05-12T11:15:00Z</dcterms:created>
  <dcterms:modified xsi:type="dcterms:W3CDTF">2026-03-12T06:56:21Z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8D38C57E3C604FA3834F6A7FD7E397E6_12</vt:lpwstr>
  </property>
  <property fmtid="{D5CDD505-2E9C-101B-9397-08002B2CF9AE}" pid="4" name="CalculationRule">
    <vt:i4>0</vt:i4>
  </property>
</Properties>
</file>