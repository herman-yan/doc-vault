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商乘储" sheetId="3" r:id="rId1"/>
  </sheets>
  <definedNames>
    <definedName name="_xlnm._FilterDatabase" localSheetId="0" hidden="1">商乘储!$A$1:$I$33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<sst xmlns="http://schemas.openxmlformats.org/spreadsheetml/2006/main" count="181" uniqueCount="82">
  <si>
    <t>设备分类</t>
  </si>
  <si>
    <t>产品名称</t>
  </si>
  <si>
    <t>数量</t>
  </si>
  <si>
    <t>计量单位</t>
  </si>
  <si>
    <t>类别</t>
  </si>
  <si>
    <t>配置要求</t>
  </si>
  <si>
    <t>功能</t>
  </si>
  <si>
    <t>单价（含税）</t>
  </si>
  <si>
    <t>总价（含税）</t>
  </si>
  <si>
    <t>基础技能实训区</t>
  </si>
  <si>
    <t>动力电池电芯结构展示台</t>
  </si>
  <si>
    <t>台</t>
  </si>
  <si>
    <t>商乘通用</t>
  </si>
  <si>
    <t>必配</t>
  </si>
  <si>
    <t>动力电池电芯结构展示台是基于新能源汽车动力电池模块开发的教学产品，采用市场销
量大、技术成熟的锂离子电池实物部件，清晰展示锂离子电池的内部结构、真实演示锂离子
电池的充放电原理，实现将锂离子电池的结构类型、内部结构设计特点和工作原理进行系统
化、集成化的展现，利于构建完整的知识体系。</t>
  </si>
  <si>
    <t>动力电池基础电气原理教具箱</t>
  </si>
  <si>
    <t>选用各类典型电工电气器件，可真实模拟实验电路的工作情况；可以搭建基础功能
实验电路，为学员学习电路基础提供便利。</t>
  </si>
  <si>
    <t>高压连接器插拔智能教学实训平台</t>
  </si>
  <si>
    <t xml:space="preserve">高压连接器插拔实训台为教具类教学设备，主要应用于培训教学场景。
连接器选用 CATL 主流产品（BUS 和 CAR）高压、低压连接器、水冷接头，安装在教具箱体上，通过视频
讲解及学员动手插拔，使学员掌握实际掌握高压连接器插拔操作，以及不按程序操作可能造成后果，为新
能源电动车安全操作必备基础要领。
</t>
  </si>
  <si>
    <t>动力电池系统部件技术检测平台</t>
  </si>
  <si>
    <t>动力电池拆装台为教具类教学设备，适用于新能源汽车电池系统主要零部件的认知和实操检测，如继电
器、电流传感器、温度传感器等的认知和检测等。</t>
  </si>
  <si>
    <t>商乘动力电池拆检区</t>
  </si>
  <si>
    <t>CAR动力电池智能拆装实训平台</t>
  </si>
  <si>
    <t>乘专用</t>
  </si>
  <si>
    <t>适用于新能源汽车电池系统的结构教学、拆装检测教学实训等。
教具核心配件选用CATL G5项目新能源动力电池包PACK（不注液电芯），真实展示新能源汽车动力电池
内部结构和电气连接关系；可以观察新能源汽车电源及动力系统的组成、各元件的外形和相对位置，加深
对电池结构和工作原理的了解。</t>
  </si>
  <si>
    <t>专用锂电池均衡仪</t>
  </si>
  <si>
    <t>套</t>
  </si>
  <si>
    <t>专用锂电池均衡电机</t>
  </si>
  <si>
    <t>专用均衡线束工装套件</t>
  </si>
  <si>
    <t>配套线束</t>
  </si>
  <si>
    <t>专用气密检测仪器</t>
  </si>
  <si>
    <t>便携式气密性检漏测试仪是针对新能源领域开发的专用测试设备，适用于液冷板、PDU、PEU 等部件的气密性检测。该设备采用我司特有的气压控制技术有效的解决
了在微气压下的自动调节、气压稳定和采样精度等难题。
QMM 系列便携式气密性检漏测试仪采用进口关键零部件、气路硬连接、自动调节
输出气压，高清触摸屏及便携式设计等技术，使其具备寿命长、精度高、操作简单、体积
小、易携带等特点。</t>
  </si>
  <si>
    <t>便携式气泵</t>
  </si>
  <si>
    <t>接线盒</t>
  </si>
  <si>
    <t>高压接线盒</t>
  </si>
  <si>
    <t>控制盒</t>
  </si>
  <si>
    <t>CAR专用气密工装套件</t>
  </si>
  <si>
    <t>适用G5项目电箱
乘用车气密工装，可替代防爆阀、线束接头等。与气密仪配合使用，可用以完成箱体气密测试及水冷系统气密测试。</t>
  </si>
  <si>
    <t>充放电连接转接片</t>
  </si>
  <si>
    <t>个</t>
  </si>
  <si>
    <t>专用PACK充放电机</t>
  </si>
  <si>
    <t>商乘动力电池诊断区</t>
  </si>
  <si>
    <t>CAR动力电池及BMS综合故障检测平台</t>
  </si>
  <si>
    <t>建设在理实一体化的基础上，基于新能源乘用车动
力电池系统的教学需求，真实还原新能源乘用车上常见的动力电池系统故障。采用原厂的动
力电池系统实物部件，可视化角度范围广，清晰展示动力电池系统部件之间的连接关系与线
路走向，并配置完整的故障设置系统和测量端子系统， 专门用于新能源乘用车动力电池系统
的结构认知、信号检测、故障设置、诊断与维修的深入学习，将理论与实践高度融合，把知
识点与技能点紧密联系，满足中等职业院校、普通教育类学员和培训机构对新能源乘用车动
力电池系统的教学需求。</t>
  </si>
  <si>
    <t>移动一体机</t>
  </si>
  <si>
    <t>可移动触控一体机用于安装教学软件、演示产品3D数字模型（可操作模型，比如总成件爆炸拆解、零部件
翻转、透视等）、零部件工作原理演示、充放电流程演示、 MSD安装拆卸演示等。</t>
  </si>
  <si>
    <t>专用CAN盒</t>
  </si>
  <si>
    <t>PACK/模组输出信号转换器，PACK内BMU输出通讯信号，经过CAN总线卡转换信号后，才能被上位机识别；</t>
  </si>
  <si>
    <t>智能诊断仪（含软件+平板）</t>
  </si>
  <si>
    <t>检测诊断软件及平板电脑</t>
  </si>
  <si>
    <t>CAR专用上位机软件调试线</t>
  </si>
  <si>
    <t>网关调试线</t>
  </si>
  <si>
    <t>交直流一体充电系统故障检测台</t>
  </si>
  <si>
    <t>充电桩故障检测台， 交流充电桩和直流充电桩为基础进行制作，真实展示新能源汽车充电装置的的结构组
成和工作原理，能够开展充电桩的组成、结构、原理、操作及排故障等实训课程，适用于各类新能源培训
中心教学使用。</t>
  </si>
  <si>
    <t>储能电池拆装诊断区</t>
  </si>
  <si>
    <t>水冷气密堵头（一堆堵头）</t>
  </si>
  <si>
    <t>储能专用</t>
  </si>
  <si>
    <t>水冷气密堵头（水冷管）</t>
  </si>
  <si>
    <t>风冷水冷二合一调试线</t>
  </si>
  <si>
    <t>储能专用上位机软件调试线</t>
  </si>
  <si>
    <t>储能拆装主控箱</t>
  </si>
  <si>
    <t>课程教学服务</t>
  </si>
  <si>
    <t>商乘储动力电池IETM智能学练课程平台账号</t>
  </si>
  <si>
    <t>商乘储</t>
  </si>
  <si>
    <t>30个免费，超过则3000元/个，</t>
  </si>
  <si>
    <t>-</t>
  </si>
  <si>
    <t>教材资源包</t>
  </si>
  <si>
    <t>商乘储实训课程配套教材包</t>
  </si>
  <si>
    <t>课程包</t>
  </si>
  <si>
    <t>合作授权</t>
  </si>
  <si>
    <t>宁德时代后市场创新人才培养基地授牌</t>
  </si>
  <si>
    <t>授权</t>
  </si>
  <si>
    <t>技能认证</t>
  </si>
  <si>
    <t>技能考试及证书</t>
  </si>
  <si>
    <t>人</t>
  </si>
  <si>
    <t>30个免费，超过则1000元/人，</t>
  </si>
  <si>
    <t>师资培训认证</t>
  </si>
  <si>
    <t>宁家服务培训基地现场培训　</t>
  </si>
  <si>
    <t>4个免费，超过则5000元/人，外加2名教师培训</t>
  </si>
  <si>
    <t>教学帮扶</t>
  </si>
  <si>
    <t>现场检查及教学帮扶</t>
  </si>
  <si>
    <t>主机厂标准配置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</si>
</sst>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5">
    <font>
      <sz val="11"/>
      <color theme="1"/>
      <name val="等线"/>
      <charset val="134"/>
      <scheme val="minor"/>
    </font>
    <font>
      <sz val="10"/>
      <color theme="1"/>
      <name val="Microsoft YaHei Light"/>
      <charset val="134"/>
    </font>
    <font>
      <b/>
      <sz val="10"/>
      <color theme="0"/>
      <name val="Microsoft YaHei Light"/>
      <charset val="134"/>
    </font>
    <font>
      <sz val="10"/>
      <color theme="0"/>
      <name val="Microsoft YaHei Light"/>
      <charset val="134"/>
    </font>
    <font>
      <sz val="10"/>
      <color rgb="FF000000"/>
      <name val="Microsoft YaHei Light"/>
      <charset val="134"/>
    </font>
    <font>
      <sz val="10"/>
      <name val="Microsoft YaHei Light"/>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5" borderId="8" applyNumberFormat="0" applyAlignment="0" applyProtection="0">
      <alignment vertical="center"/>
    </xf>
    <xf numFmtId="0" fontId="15" fillId="6" borderId="9" applyNumberFormat="0" applyAlignment="0" applyProtection="0">
      <alignment vertical="center"/>
    </xf>
    <xf numFmtId="0" fontId="16" fillId="6" borderId="8" applyNumberFormat="0" applyAlignment="0" applyProtection="0">
      <alignment vertical="center"/>
    </xf>
    <xf numFmtId="0" fontId="17" fillId="7"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0" fillId="0" borderId="0">
      <alignment vertical="center"/>
    </xf>
  </cellStyleXfs>
  <cellXfs count="30">
    <xf numFmtId="0" fontId="0" fillId="0" borderId="0" xfId="0">
      <alignment vertical="center"/>
    </xf>
    <xf numFmtId="0" fontId="1" fillId="0" borderId="0" xfId="0" applyFont="1" applyAlignment="1"/>
    <xf numFmtId="0" fontId="1" fillId="0" borderId="0" xfId="0" applyFont="1" applyAlignment="1">
      <alignment wrapText="1"/>
    </xf>
    <xf numFmtId="0" fontId="1" fillId="0" borderId="0" xfId="0" applyFont="1" applyAlignment="1">
      <alignment horizontal="center" vertical="center"/>
    </xf>
    <xf numFmtId="0" fontId="2" fillId="2" borderId="1" xfId="49" applyFont="1" applyFill="1" applyBorder="1" applyAlignment="1">
      <alignment horizontal="center" vertical="center"/>
    </xf>
    <xf numFmtId="0" fontId="2" fillId="2" borderId="1" xfId="49" applyFont="1" applyFill="1" applyBorder="1" applyAlignment="1">
      <alignment horizontal="center" vertical="center" wrapText="1"/>
    </xf>
    <xf numFmtId="0" fontId="3" fillId="2" borderId="1" xfId="49" applyFont="1" applyFill="1" applyBorder="1" applyAlignment="1">
      <alignment horizontal="center" vertical="center"/>
    </xf>
    <xf numFmtId="0" fontId="4" fillId="3" borderId="1" xfId="49" applyFont="1" applyFill="1" applyBorder="1" applyAlignment="1">
      <alignment horizontal="center" vertical="center"/>
    </xf>
    <xf numFmtId="0" fontId="4" fillId="3" borderId="1" xfId="49" applyFont="1" applyFill="1" applyBorder="1" applyAlignment="1">
      <alignment horizontal="left" vertical="center"/>
    </xf>
    <xf numFmtId="0" fontId="1" fillId="3" borderId="1" xfId="49" applyFont="1" applyFill="1" applyBorder="1" applyAlignment="1">
      <alignment horizontal="center" vertical="center"/>
    </xf>
    <xf numFmtId="0" fontId="4" fillId="3" borderId="1" xfId="49" applyFont="1" applyFill="1" applyBorder="1" applyAlignment="1">
      <alignment horizontal="left" vertical="center" wrapText="1"/>
    </xf>
    <xf numFmtId="176" fontId="5"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xf>
    <xf numFmtId="0" fontId="5" fillId="3" borderId="1" xfId="49" applyFont="1" applyFill="1" applyBorder="1" applyAlignment="1">
      <alignment horizontal="left" vertical="center"/>
    </xf>
    <xf numFmtId="1" fontId="1"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49" applyFont="1" applyFill="1" applyBorder="1" applyAlignment="1">
      <alignment horizontal="center" vertical="center"/>
    </xf>
    <xf numFmtId="0" fontId="5" fillId="3" borderId="1" xfId="49" applyFont="1" applyFill="1" applyBorder="1" applyAlignment="1">
      <alignment horizontal="left" vertical="center" wrapText="1"/>
    </xf>
    <xf numFmtId="0" fontId="5" fillId="3" borderId="2" xfId="49" applyFont="1" applyFill="1" applyBorder="1" applyAlignment="1">
      <alignment horizontal="left" vertical="center" wrapText="1"/>
    </xf>
    <xf numFmtId="0" fontId="5" fillId="3" borderId="3" xfId="49" applyFont="1" applyFill="1" applyBorder="1" applyAlignment="1">
      <alignment horizontal="left" vertical="center" wrapText="1"/>
    </xf>
    <xf numFmtId="176" fontId="4" fillId="3" borderId="1" xfId="49" applyNumberFormat="1" applyFont="1" applyFill="1" applyBorder="1" applyAlignment="1">
      <alignment horizontal="center" vertical="center"/>
    </xf>
    <xf numFmtId="0" fontId="5" fillId="3" borderId="1" xfId="0" applyFont="1" applyFill="1" applyBorder="1" applyAlignment="1">
      <alignment horizontal="left" vertical="center" wrapText="1"/>
    </xf>
    <xf numFmtId="0" fontId="1" fillId="0" borderId="1" xfId="49" applyFont="1" applyBorder="1" applyAlignment="1">
      <alignment horizontal="left" vertical="center" wrapText="1"/>
    </xf>
    <xf numFmtId="176" fontId="5" fillId="3" borderId="4" xfId="0" applyNumberFormat="1" applyFont="1" applyFill="1" applyBorder="1" applyAlignment="1">
      <alignment horizontal="center" vertical="center" wrapText="1"/>
    </xf>
    <xf numFmtId="176" fontId="5" fillId="3" borderId="2" xfId="0" applyNumberFormat="1" applyFont="1" applyFill="1" applyBorder="1" applyAlignment="1">
      <alignment horizontal="center" vertical="center" wrapText="1"/>
    </xf>
    <xf numFmtId="0" fontId="5" fillId="3" borderId="1" xfId="0" applyFont="1" applyFill="1" applyBorder="1" applyAlignment="1">
      <alignment horizontal="left" vertical="center"/>
    </xf>
    <xf numFmtId="0" fontId="5" fillId="3" borderId="1" xfId="0" applyFont="1" applyFill="1" applyBorder="1" applyAlignment="1">
      <alignment horizontal="center" vertical="center" wrapText="1"/>
    </xf>
    <xf numFmtId="176" fontId="5" fillId="3" borderId="3" xfId="0" applyNumberFormat="1" applyFont="1" applyFill="1" applyBorder="1" applyAlignment="1">
      <alignment horizontal="center" vertical="center" wrapText="1"/>
    </xf>
    <xf numFmtId="0" fontId="1" fillId="0" borderId="0" xfId="0" applyFont="1" applyBorder="1" applyAlignment="1">
      <alignment wrapText="1"/>
    </xf>
    <xf numFmtId="0" fontId="1" fillId="0" borderId="0" xfId="0" applyFont="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ont>
        <color rgb="FF9C0006"/>
      </font>
      <fill>
        <patternFill patternType="solid">
          <bgColor rgb="FFFFC7CE"/>
        </patternFill>
      </fill>
    </dxf>
  </dxfs>
  <tableStyles count="0" defaultTableStyle="TableStyleMedium2" defaultPivotStyle="PivotStyleLight16"/>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0"/>
  <sheetViews>
    <sheetView tabSelected="1" zoomScale="85" zoomScaleNormal="85" workbookViewId="0">
      <selection activeCell="O6" sqref="O6"/>
    </sheetView>
  </sheetViews>
  <sheetFormatPr defaultColWidth="8.66666666666667" defaultRowHeight="16.5"/>
  <cols>
    <col min="1" max="1" width="16.625" style="1" customWidth="1"/>
    <col min="2" max="2" width="36.3333333333333" style="1" customWidth="1"/>
    <col min="3" max="3" width="10" style="1" customWidth="1"/>
    <col min="4" max="4" width="11.3333333333333" style="1" customWidth="1"/>
    <col min="5" max="6" width="15.5833333333333" style="1" customWidth="1"/>
    <col min="7" max="7" width="69.475" style="2" customWidth="1"/>
    <col min="8" max="9" width="15.5833333333333" style="3" customWidth="1"/>
    <col min="10" max="16384" width="8.66666666666667" style="1"/>
  </cols>
  <sheetData>
    <row r="1" spans="1:9">
      <c r="A1" s="4" t="s">
        <v>0</v>
      </c>
      <c r="B1" s="4" t="s">
        <v>1</v>
      </c>
      <c r="C1" s="4" t="s">
        <v>2</v>
      </c>
      <c r="D1" s="4" t="s">
        <v>3</v>
      </c>
      <c r="E1" s="4" t="s">
        <v>4</v>
      </c>
      <c r="F1" s="4" t="s">
        <v>5</v>
      </c>
      <c r="G1" s="5" t="s">
        <v>6</v>
      </c>
      <c r="H1" s="6" t="s">
        <v>7</v>
      </c>
      <c r="I1" s="6" t="s">
        <v>8</v>
      </c>
    </row>
    <row r="2" ht="66" spans="1:9">
      <c r="A2" s="7" t="s">
        <v>9</v>
      </c>
      <c r="B2" s="8" t="s">
        <v>10</v>
      </c>
      <c r="C2" s="7">
        <v>2</v>
      </c>
      <c r="D2" s="7" t="s">
        <v>11</v>
      </c>
      <c r="E2" s="7" t="s">
        <v>12</v>
      </c>
      <c r="F2" s="9" t="s">
        <v>13</v>
      </c>
      <c r="G2" s="10" t="s">
        <v>14</v>
      </c>
      <c r="H2" s="11">
        <v>137200</v>
      </c>
      <c r="I2" s="12">
        <f t="shared" ref="I2:I22" si="0">H2*C2</f>
        <v>274400</v>
      </c>
    </row>
    <row r="3" ht="33" spans="1:9">
      <c r="A3" s="7"/>
      <c r="B3" s="8" t="s">
        <v>15</v>
      </c>
      <c r="C3" s="7">
        <v>2</v>
      </c>
      <c r="D3" s="7" t="s">
        <v>11</v>
      </c>
      <c r="E3" s="7" t="s">
        <v>12</v>
      </c>
      <c r="F3" s="9" t="s">
        <v>13</v>
      </c>
      <c r="G3" s="10" t="s">
        <v>16</v>
      </c>
      <c r="H3" s="11">
        <v>221200</v>
      </c>
      <c r="I3" s="12">
        <f t="shared" si="0"/>
        <v>442400</v>
      </c>
    </row>
    <row r="4" ht="115.5" spans="1:9">
      <c r="A4" s="7"/>
      <c r="B4" s="13" t="s">
        <v>17</v>
      </c>
      <c r="C4" s="7">
        <v>2</v>
      </c>
      <c r="D4" s="7" t="s">
        <v>11</v>
      </c>
      <c r="E4" s="7" t="s">
        <v>12</v>
      </c>
      <c r="F4" s="9" t="s">
        <v>13</v>
      </c>
      <c r="G4" s="10" t="s">
        <v>18</v>
      </c>
      <c r="H4" s="11">
        <v>221200</v>
      </c>
      <c r="I4" s="12">
        <f t="shared" si="0"/>
        <v>442400</v>
      </c>
    </row>
    <row r="5" ht="49.5" spans="1:9">
      <c r="A5" s="7"/>
      <c r="B5" s="8" t="s">
        <v>19</v>
      </c>
      <c r="C5" s="7">
        <v>2</v>
      </c>
      <c r="D5" s="7" t="s">
        <v>11</v>
      </c>
      <c r="E5" s="7" t="s">
        <v>12</v>
      </c>
      <c r="F5" s="9" t="s">
        <v>13</v>
      </c>
      <c r="G5" s="10" t="s">
        <v>20</v>
      </c>
      <c r="H5" s="11">
        <v>235200</v>
      </c>
      <c r="I5" s="12">
        <f t="shared" si="0"/>
        <v>470400</v>
      </c>
    </row>
    <row r="6" ht="99" spans="1:9">
      <c r="A6" s="7" t="s">
        <v>21</v>
      </c>
      <c r="B6" s="13" t="s">
        <v>22</v>
      </c>
      <c r="C6" s="7">
        <v>1</v>
      </c>
      <c r="D6" s="7" t="s">
        <v>11</v>
      </c>
      <c r="E6" s="7" t="s">
        <v>23</v>
      </c>
      <c r="F6" s="9" t="s">
        <v>13</v>
      </c>
      <c r="G6" s="10" t="s">
        <v>24</v>
      </c>
      <c r="H6" s="11">
        <v>541100</v>
      </c>
      <c r="I6" s="12">
        <f t="shared" si="0"/>
        <v>541100</v>
      </c>
    </row>
    <row r="7" spans="1:9">
      <c r="A7" s="7"/>
      <c r="B7" s="8" t="s">
        <v>25</v>
      </c>
      <c r="C7" s="7">
        <v>1</v>
      </c>
      <c r="D7" s="7" t="s">
        <v>26</v>
      </c>
      <c r="E7" s="7" t="s">
        <v>12</v>
      </c>
      <c r="F7" s="9" t="s">
        <v>13</v>
      </c>
      <c r="G7" s="10" t="s">
        <v>27</v>
      </c>
      <c r="H7" s="11">
        <v>60830</v>
      </c>
      <c r="I7" s="12">
        <f t="shared" si="0"/>
        <v>60830</v>
      </c>
    </row>
    <row r="8" spans="1:9">
      <c r="A8" s="7"/>
      <c r="B8" s="8" t="s">
        <v>28</v>
      </c>
      <c r="C8" s="7">
        <v>2</v>
      </c>
      <c r="D8" s="7" t="s">
        <v>26</v>
      </c>
      <c r="E8" s="7" t="s">
        <v>12</v>
      </c>
      <c r="F8" s="9" t="s">
        <v>13</v>
      </c>
      <c r="G8" s="10" t="s">
        <v>29</v>
      </c>
      <c r="H8" s="11">
        <v>11460</v>
      </c>
      <c r="I8" s="12">
        <f t="shared" si="0"/>
        <v>22920</v>
      </c>
    </row>
    <row r="9" ht="99" spans="1:9">
      <c r="A9" s="7"/>
      <c r="B9" s="8" t="s">
        <v>30</v>
      </c>
      <c r="C9" s="7">
        <v>1</v>
      </c>
      <c r="D9" s="7" t="s">
        <v>26</v>
      </c>
      <c r="E9" s="7" t="s">
        <v>12</v>
      </c>
      <c r="F9" s="9" t="s">
        <v>13</v>
      </c>
      <c r="G9" s="10" t="s">
        <v>31</v>
      </c>
      <c r="H9" s="11">
        <v>72300</v>
      </c>
      <c r="I9" s="12">
        <f t="shared" si="0"/>
        <v>72300</v>
      </c>
    </row>
    <row r="10" spans="1:9">
      <c r="A10" s="7"/>
      <c r="B10" s="8" t="s">
        <v>32</v>
      </c>
      <c r="C10" s="7">
        <v>1</v>
      </c>
      <c r="D10" s="7" t="s">
        <v>26</v>
      </c>
      <c r="E10" s="7" t="s">
        <v>12</v>
      </c>
      <c r="F10" s="9" t="s">
        <v>13</v>
      </c>
      <c r="G10" s="10" t="s">
        <v>32</v>
      </c>
      <c r="H10" s="11">
        <v>2342</v>
      </c>
      <c r="I10" s="14">
        <f t="shared" si="0"/>
        <v>2342</v>
      </c>
    </row>
    <row r="11" spans="1:9">
      <c r="A11" s="7"/>
      <c r="B11" s="8" t="s">
        <v>33</v>
      </c>
      <c r="C11" s="7">
        <v>1</v>
      </c>
      <c r="D11" s="7" t="s">
        <v>26</v>
      </c>
      <c r="E11" s="7" t="s">
        <v>12</v>
      </c>
      <c r="F11" s="9" t="s">
        <v>13</v>
      </c>
      <c r="G11" s="10" t="s">
        <v>34</v>
      </c>
      <c r="H11" s="11">
        <v>10600</v>
      </c>
      <c r="I11" s="12">
        <f t="shared" si="0"/>
        <v>10600</v>
      </c>
    </row>
    <row r="12" spans="1:9">
      <c r="A12" s="7"/>
      <c r="B12" s="8" t="s">
        <v>35</v>
      </c>
      <c r="C12" s="7">
        <v>1</v>
      </c>
      <c r="D12" s="7" t="s">
        <v>26</v>
      </c>
      <c r="E12" s="7" t="s">
        <v>12</v>
      </c>
      <c r="F12" s="9" t="s">
        <v>13</v>
      </c>
      <c r="G12" s="10" t="s">
        <v>35</v>
      </c>
      <c r="H12" s="11">
        <v>6595</v>
      </c>
      <c r="I12" s="14">
        <f t="shared" si="0"/>
        <v>6595</v>
      </c>
    </row>
    <row r="13" ht="49.5" spans="1:9">
      <c r="A13" s="7"/>
      <c r="B13" s="8" t="s">
        <v>36</v>
      </c>
      <c r="C13" s="7">
        <v>1</v>
      </c>
      <c r="D13" s="7" t="s">
        <v>26</v>
      </c>
      <c r="E13" s="7" t="s">
        <v>23</v>
      </c>
      <c r="F13" s="9" t="s">
        <v>13</v>
      </c>
      <c r="G13" s="10" t="s">
        <v>37</v>
      </c>
      <c r="H13" s="11">
        <v>36980</v>
      </c>
      <c r="I13" s="12">
        <f t="shared" si="0"/>
        <v>36980</v>
      </c>
    </row>
    <row r="14" spans="1:9">
      <c r="A14" s="7"/>
      <c r="B14" s="8" t="s">
        <v>38</v>
      </c>
      <c r="C14" s="7">
        <v>1</v>
      </c>
      <c r="D14" s="7" t="s">
        <v>39</v>
      </c>
      <c r="E14" s="7" t="s">
        <v>12</v>
      </c>
      <c r="F14" s="9" t="s">
        <v>13</v>
      </c>
      <c r="G14" s="10" t="s">
        <v>38</v>
      </c>
      <c r="H14" s="15">
        <v>176</v>
      </c>
      <c r="I14" s="12">
        <f t="shared" si="0"/>
        <v>176</v>
      </c>
    </row>
    <row r="15" spans="1:9">
      <c r="A15" s="7"/>
      <c r="B15" s="8" t="s">
        <v>40</v>
      </c>
      <c r="C15" s="7">
        <v>1</v>
      </c>
      <c r="D15" s="7" t="s">
        <v>26</v>
      </c>
      <c r="E15" s="7" t="s">
        <v>12</v>
      </c>
      <c r="F15" s="9" t="s">
        <v>13</v>
      </c>
      <c r="G15" s="10" t="s">
        <v>40</v>
      </c>
      <c r="H15" s="11">
        <v>79100</v>
      </c>
      <c r="I15" s="12">
        <f t="shared" si="0"/>
        <v>79100</v>
      </c>
    </row>
    <row r="16" ht="115.5" spans="1:9">
      <c r="A16" s="7" t="s">
        <v>41</v>
      </c>
      <c r="B16" s="8" t="s">
        <v>42</v>
      </c>
      <c r="C16" s="7">
        <v>2</v>
      </c>
      <c r="D16" s="7" t="s">
        <v>11</v>
      </c>
      <c r="E16" s="7" t="s">
        <v>23</v>
      </c>
      <c r="F16" s="9" t="s">
        <v>13</v>
      </c>
      <c r="G16" s="10" t="s">
        <v>43</v>
      </c>
      <c r="H16" s="11">
        <v>686000</v>
      </c>
      <c r="I16" s="12">
        <f t="shared" si="0"/>
        <v>1372000</v>
      </c>
    </row>
    <row r="17" ht="49.5" spans="1:9">
      <c r="A17" s="7"/>
      <c r="B17" s="13" t="s">
        <v>44</v>
      </c>
      <c r="C17" s="16">
        <v>1</v>
      </c>
      <c r="D17" s="16" t="s">
        <v>11</v>
      </c>
      <c r="E17" s="16" t="s">
        <v>12</v>
      </c>
      <c r="F17" s="9" t="s">
        <v>13</v>
      </c>
      <c r="G17" s="17" t="s">
        <v>45</v>
      </c>
      <c r="H17" s="15">
        <v>42000</v>
      </c>
      <c r="I17" s="12">
        <f t="shared" si="0"/>
        <v>42000</v>
      </c>
    </row>
    <row r="18" ht="33" spans="1:9">
      <c r="A18" s="7"/>
      <c r="B18" s="8" t="s">
        <v>46</v>
      </c>
      <c r="C18" s="7">
        <v>1</v>
      </c>
      <c r="D18" s="7" t="s">
        <v>39</v>
      </c>
      <c r="E18" s="7" t="s">
        <v>12</v>
      </c>
      <c r="F18" s="9" t="s">
        <v>13</v>
      </c>
      <c r="G18" s="10" t="s">
        <v>47</v>
      </c>
      <c r="H18" s="11">
        <v>6179</v>
      </c>
      <c r="I18" s="14">
        <f t="shared" si="0"/>
        <v>6179</v>
      </c>
    </row>
    <row r="19" spans="1:9">
      <c r="A19" s="7"/>
      <c r="B19" s="8" t="s">
        <v>48</v>
      </c>
      <c r="C19" s="7">
        <v>1</v>
      </c>
      <c r="D19" s="7" t="s">
        <v>26</v>
      </c>
      <c r="E19" s="7" t="s">
        <v>12</v>
      </c>
      <c r="F19" s="9" t="s">
        <v>13</v>
      </c>
      <c r="G19" s="10" t="s">
        <v>49</v>
      </c>
      <c r="H19" s="11">
        <v>53200</v>
      </c>
      <c r="I19" s="12">
        <f t="shared" si="0"/>
        <v>53200</v>
      </c>
    </row>
    <row r="20" spans="1:9">
      <c r="A20" s="7"/>
      <c r="B20" s="8" t="s">
        <v>50</v>
      </c>
      <c r="C20" s="7">
        <v>1</v>
      </c>
      <c r="D20" s="7" t="s">
        <v>26</v>
      </c>
      <c r="E20" s="7" t="s">
        <v>23</v>
      </c>
      <c r="F20" s="9" t="s">
        <v>13</v>
      </c>
      <c r="G20" s="10" t="s">
        <v>51</v>
      </c>
      <c r="H20" s="11">
        <v>9272</v>
      </c>
      <c r="I20" s="12">
        <f t="shared" si="0"/>
        <v>9272</v>
      </c>
    </row>
    <row r="21" ht="82.5" spans="1:9">
      <c r="A21" s="7"/>
      <c r="B21" s="8" t="s">
        <v>52</v>
      </c>
      <c r="C21" s="7">
        <v>1</v>
      </c>
      <c r="D21" s="7" t="s">
        <v>11</v>
      </c>
      <c r="E21" s="7" t="s">
        <v>12</v>
      </c>
      <c r="F21" s="9" t="s">
        <v>13</v>
      </c>
      <c r="G21" s="10" t="s">
        <v>53</v>
      </c>
      <c r="H21" s="11">
        <v>263000</v>
      </c>
      <c r="I21" s="12">
        <f t="shared" si="0"/>
        <v>263000</v>
      </c>
    </row>
    <row r="22" spans="1:9">
      <c r="A22" s="9" t="s">
        <v>54</v>
      </c>
      <c r="B22" s="8" t="s">
        <v>55</v>
      </c>
      <c r="C22" s="7">
        <v>2</v>
      </c>
      <c r="D22" s="7" t="s">
        <v>39</v>
      </c>
      <c r="E22" s="7" t="s">
        <v>56</v>
      </c>
      <c r="F22" s="9" t="s">
        <v>13</v>
      </c>
      <c r="G22" s="18"/>
      <c r="H22" s="12">
        <v>3380</v>
      </c>
      <c r="I22" s="14">
        <f t="shared" ref="I22:I27" si="1">H22*C22</f>
        <v>6760</v>
      </c>
    </row>
    <row r="23" spans="1:9">
      <c r="A23" s="9"/>
      <c r="B23" s="8" t="s">
        <v>57</v>
      </c>
      <c r="C23" s="7">
        <v>2</v>
      </c>
      <c r="D23" s="7" t="s">
        <v>39</v>
      </c>
      <c r="E23" s="7" t="s">
        <v>56</v>
      </c>
      <c r="F23" s="9" t="s">
        <v>13</v>
      </c>
      <c r="G23" s="18"/>
      <c r="H23" s="12">
        <v>10780</v>
      </c>
      <c r="I23" s="14">
        <f t="shared" si="1"/>
        <v>21560</v>
      </c>
    </row>
    <row r="24" spans="1:9">
      <c r="A24" s="9"/>
      <c r="B24" s="8" t="s">
        <v>57</v>
      </c>
      <c r="C24" s="7">
        <v>2</v>
      </c>
      <c r="D24" s="7" t="s">
        <v>39</v>
      </c>
      <c r="E24" s="7" t="s">
        <v>56</v>
      </c>
      <c r="F24" s="9" t="s">
        <v>13</v>
      </c>
      <c r="G24" s="18"/>
      <c r="H24" s="12">
        <v>10000</v>
      </c>
      <c r="I24" s="14">
        <f t="shared" si="1"/>
        <v>20000</v>
      </c>
    </row>
    <row r="25" spans="1:9">
      <c r="A25" s="9"/>
      <c r="B25" s="8" t="s">
        <v>58</v>
      </c>
      <c r="C25" s="7">
        <v>2</v>
      </c>
      <c r="D25" s="7" t="s">
        <v>39</v>
      </c>
      <c r="E25" s="7" t="s">
        <v>56</v>
      </c>
      <c r="F25" s="9" t="s">
        <v>13</v>
      </c>
      <c r="G25" s="19"/>
      <c r="H25" s="12">
        <v>1500</v>
      </c>
      <c r="I25" s="14">
        <f t="shared" si="1"/>
        <v>3000</v>
      </c>
    </row>
    <row r="26" spans="1:9">
      <c r="A26" s="9"/>
      <c r="B26" s="13" t="s">
        <v>59</v>
      </c>
      <c r="C26" s="20">
        <v>1</v>
      </c>
      <c r="D26" s="7" t="s">
        <v>26</v>
      </c>
      <c r="E26" s="7" t="s">
        <v>56</v>
      </c>
      <c r="F26" s="9" t="s">
        <v>13</v>
      </c>
      <c r="G26" s="17" t="s">
        <v>59</v>
      </c>
      <c r="H26" s="12">
        <v>48000</v>
      </c>
      <c r="I26" s="14">
        <f t="shared" si="1"/>
        <v>48000</v>
      </c>
    </row>
    <row r="27" spans="1:9">
      <c r="A27" s="9"/>
      <c r="B27" s="13" t="s">
        <v>60</v>
      </c>
      <c r="C27" s="20">
        <v>1</v>
      </c>
      <c r="D27" s="7" t="s">
        <v>11</v>
      </c>
      <c r="E27" s="7" t="s">
        <v>56</v>
      </c>
      <c r="F27" s="9" t="s">
        <v>13</v>
      </c>
      <c r="G27" s="17" t="s">
        <v>60</v>
      </c>
      <c r="H27" s="12">
        <v>100000</v>
      </c>
      <c r="I27" s="12">
        <f t="shared" si="1"/>
        <v>100000</v>
      </c>
    </row>
    <row r="28" spans="1:9">
      <c r="A28" s="15" t="s">
        <v>61</v>
      </c>
      <c r="B28" s="21" t="s">
        <v>62</v>
      </c>
      <c r="C28" s="7">
        <v>30</v>
      </c>
      <c r="D28" s="7" t="s">
        <v>39</v>
      </c>
      <c r="E28" s="7" t="s">
        <v>63</v>
      </c>
      <c r="F28" s="9" t="s">
        <v>13</v>
      </c>
      <c r="G28" s="22" t="s">
        <v>64</v>
      </c>
      <c r="H28" s="11" t="s">
        <v>65</v>
      </c>
      <c r="I28" s="23">
        <v>10000</v>
      </c>
    </row>
    <row r="29" spans="1:9">
      <c r="A29" s="15" t="s">
        <v>66</v>
      </c>
      <c r="B29" s="8" t="s">
        <v>67</v>
      </c>
      <c r="C29" s="7">
        <v>1</v>
      </c>
      <c r="D29" s="7" t="s">
        <v>26</v>
      </c>
      <c r="E29" s="7" t="s">
        <v>63</v>
      </c>
      <c r="F29" s="9" t="s">
        <v>13</v>
      </c>
      <c r="G29" s="22" t="s">
        <v>68</v>
      </c>
      <c r="H29" s="11" t="s">
        <v>65</v>
      </c>
      <c r="I29" s="24"/>
    </row>
    <row r="30" spans="1:9">
      <c r="A30" s="7" t="s">
        <v>69</v>
      </c>
      <c r="B30" s="25" t="s">
        <v>70</v>
      </c>
      <c r="C30" s="7">
        <v>1</v>
      </c>
      <c r="D30" s="7" t="s">
        <v>26</v>
      </c>
      <c r="E30" s="7" t="s">
        <v>63</v>
      </c>
      <c r="F30" s="9" t="s">
        <v>13</v>
      </c>
      <c r="G30" s="22" t="s">
        <v>71</v>
      </c>
      <c r="H30" s="11" t="s">
        <v>65</v>
      </c>
      <c r="I30" s="24"/>
    </row>
    <row r="31" spans="1:9">
      <c r="A31" s="15" t="s">
        <v>72</v>
      </c>
      <c r="B31" s="21" t="s">
        <v>73</v>
      </c>
      <c r="C31" s="7">
        <v>30</v>
      </c>
      <c r="D31" s="7" t="s">
        <v>74</v>
      </c>
      <c r="E31" s="7" t="s">
        <v>63</v>
      </c>
      <c r="F31" s="9" t="s">
        <v>13</v>
      </c>
      <c r="G31" s="22" t="s">
        <v>75</v>
      </c>
      <c r="H31" s="11" t="s">
        <v>65</v>
      </c>
      <c r="I31" s="24"/>
    </row>
    <row r="32" spans="1:9">
      <c r="A32" s="26" t="s">
        <v>76</v>
      </c>
      <c r="B32" s="25" t="s">
        <v>77</v>
      </c>
      <c r="C32" s="7">
        <v>4</v>
      </c>
      <c r="D32" s="7" t="s">
        <v>26</v>
      </c>
      <c r="E32" s="7" t="s">
        <v>63</v>
      </c>
      <c r="F32" s="9" t="s">
        <v>13</v>
      </c>
      <c r="G32" s="22" t="s">
        <v>78</v>
      </c>
      <c r="H32" s="11" t="s">
        <v>65</v>
      </c>
      <c r="I32" s="24"/>
    </row>
    <row r="33" spans="1:9">
      <c r="A33" s="15" t="s">
        <v>79</v>
      </c>
      <c r="B33" s="25" t="s">
        <v>80</v>
      </c>
      <c r="C33" s="7">
        <v>1</v>
      </c>
      <c r="D33" s="7" t="s">
        <v>26</v>
      </c>
      <c r="E33" s="7" t="s">
        <v>63</v>
      </c>
      <c r="F33" s="9" t="s">
        <v>13</v>
      </c>
      <c r="G33" s="10" t="s">
        <v>81</v>
      </c>
      <c r="H33" s="11" t="s">
        <v>65</v>
      </c>
      <c r="I33" s="27"/>
    </row>
    <row r="34" spans="1:9">
      <c r="G34" s="28"/>
      <c r="H34" s="29"/>
    </row>
    <row r="35" spans="1:9">
      <c r="G35" s="28"/>
      <c r="H35" s="29"/>
    </row>
    <row r="36" spans="1:9">
      <c r="G36" s="28"/>
      <c r="H36" s="29"/>
    </row>
    <row r="37" spans="1:9">
      <c r="G37" s="28"/>
      <c r="H37" s="29"/>
    </row>
    <row r="38" spans="1:9">
      <c r="G38" s="28"/>
      <c r="H38" s="29"/>
    </row>
    <row r="39" spans="1:9">
      <c r="G39" s="28"/>
      <c r="H39" s="29"/>
    </row>
    <row r="40" spans="1:9">
      <c r="G40" s="28"/>
      <c r="H40" s="29"/>
    </row>
  </sheetData>
  <autoFilter xmlns:etc="http://www.wps.cn/officeDocument/2017/etCustomData" ref="A1:I33" etc:filterBottomFollowUsedRange="0">
    <extLst/>
  </autoFilter>
  <mergeCells count="6">
    <mergeCell ref="A2:A5"/>
    <mergeCell ref="A6:A15"/>
    <mergeCell ref="A16:A21"/>
    <mergeCell ref="A22:A27"/>
    <mergeCell ref="G22:G25"/>
    <mergeCell ref="I28:I33"/>
  </mergeCells>
  <conditionalFormatting sqref="C14">
    <cfRule type="duplicateValues" dxfId="0" priority="1"/>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商乘储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 YaYong(AMD)</dc:creator>
  <cp:lastModifiedBy>WPS_1651196735</cp:lastModifiedBy>
  <dcterms:created xsi:type="dcterms:W3CDTF">2025-09-05T23:34:00Z</dcterms:created>
  <dcterms:modified xsi:type="dcterms:W3CDTF">2026-07-03T08:19:01Z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D038FB57AB084607A0CA7C1BCE52E2CB_13</vt:lpwstr>
  </property>
  <property fmtid="{D5CDD505-2E9C-101B-9397-08002B2CF9AE}" pid="4" name="CalculationRule">
    <vt:i4>0</vt:i4>
  </property>
</Properties>
</file>