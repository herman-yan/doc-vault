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bdcn\Desktop\"/>
    </mc:Choice>
  </mc:AlternateContent>
  <bookViews>
    <workbookView windowWidth="18600" windowHeight="8055" activeTab="3"/>
  </bookViews>
  <sheets>
    <sheet name="录用条件说明" sheetId="3" r:id="rId1"/>
    <sheet name="第一个月考核表" sheetId="4" r:id="rId2"/>
    <sheet name="第二个月考核表" sheetId="5" r:id="rId3"/>
    <sheet name="第三个月考核表" sheetId="6" r:id="rId4"/>
    <sheet name="试用期综合评定表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<sst xmlns="http://schemas.openxmlformats.org/spreadsheetml/2006/main" count="247" uniqueCount="161">
  <si>
    <t>试用期绩效考核表说明</t>
  </si>
  <si>
    <t>文件名称</t>
  </si>
  <si>
    <t>试用期绩效考核表（马建超）202608.xlsx</t>
  </si>
  <si>
    <t>员工姓名</t>
  </si>
  <si>
    <t>马建超</t>
  </si>
  <si>
    <t/>
  </si>
  <si>
    <t>一、说明</t>
  </si>
  <si>
    <t>本考核表所包含的全部内容（各工作表）均作为员工录用条件的重要组成部分。</t>
  </si>
  <si>
    <t>员工在入职时已充分阅读、理解并认可本考核表的所有条款和要求。</t>
  </si>
  <si>
    <t>二、考核表组成</t>
  </si>
  <si>
    <t>1. 月度考核表：针对月度工作的考核标准和要求</t>
  </si>
  <si>
    <t>2. 试用期综合评定表：明确考核结果与试用期转正、薪资调整等的关联规则</t>
  </si>
  <si>
    <t>三、签收确认</t>
  </si>
  <si>
    <t>员工确认：本人已收到并理解上述考核表内容，同意将其作为录用条件执行。</t>
  </si>
  <si>
    <r>
      <rPr>
        <b/>
        <sz val="12"/>
        <color rgb="FF2C3E50"/>
        <rFont val="微软雅黑"/>
        <charset val="134"/>
      </rPr>
      <t>员工签收：__________________________     日期：</t>
    </r>
    <r>
      <rPr>
        <b/>
        <u/>
        <sz val="12"/>
        <color rgb="FF2C3E50"/>
        <rFont val="微软雅黑"/>
        <charset val="134"/>
      </rPr>
      <t>_2026___</t>
    </r>
    <r>
      <rPr>
        <b/>
        <sz val="12"/>
        <color rgb="FF2C3E50"/>
        <rFont val="微软雅黑"/>
        <charset val="134"/>
      </rPr>
      <t>年</t>
    </r>
    <r>
      <rPr>
        <b/>
        <u/>
        <sz val="12"/>
        <color rgb="FF2C3E50"/>
        <rFont val="微软雅黑"/>
        <charset val="134"/>
      </rPr>
      <t>____</t>
    </r>
    <r>
      <rPr>
        <b/>
        <sz val="12"/>
        <color rgb="FF2C3E50"/>
        <rFont val="微软雅黑"/>
        <charset val="134"/>
      </rPr>
      <t>月</t>
    </r>
    <r>
      <rPr>
        <b/>
        <u/>
        <sz val="12"/>
        <color rgb="FF2C3E50"/>
        <rFont val="微软雅黑"/>
        <charset val="134"/>
      </rPr>
      <t>___</t>
    </r>
    <r>
      <rPr>
        <b/>
        <sz val="12"/>
        <color rgb="FF2C3E50"/>
        <rFont val="微软雅黑"/>
        <charset val="134"/>
      </rPr>
      <t>日</t>
    </r>
  </si>
  <si>
    <t>试用期绩效考核表（第1个月）</t>
  </si>
  <si>
    <t>考核维度</t>
  </si>
  <si>
    <t>指标名称</t>
  </si>
  <si>
    <t>权重</t>
  </si>
  <si>
    <t>考核目标/标准</t>
  </si>
  <si>
    <t>具体评分规则</t>
  </si>
  <si>
    <t>考核依据</t>
  </si>
  <si>
    <t>自评分</t>
  </si>
  <si>
    <t>实际完成情况（事实举证）</t>
  </si>
  <si>
    <t>上级评分80%</t>
  </si>
  <si>
    <t>360度评分20%</t>
  </si>
  <si>
    <t>备注</t>
  </si>
  <si>
    <t>增值业务商业模式探索与产品体系</t>
  </si>
  <si>
    <t>增值业务现状全面调研与诊断</t>
  </si>
  <si>
    <t>1. 完成公司现有增值业务全面调研，包括业务现状、盈利模式、存在问题等；
2. 完成行业竞品及标杆企业增值业务模式调研，梳理至少2家对标企业的商业模式；
3. 输出增值业务现状调研与诊断报告。</t>
  </si>
  <si>
    <t>1. 内部调研+外部对标均完成且报告质量高得15分；
2. 完成内部调研但外部对标不充分得10分；
3. 仅有初步调研且深度不足得5分；
4. 未开展得0分。</t>
  </si>
  <si>
    <t>增值业务现状调研报告；
竞品分析资料</t>
  </si>
  <si>
    <t>增值业务发展规划与商业模式框架制定</t>
  </si>
  <si>
    <t>1. 基于调研结果，制定增值业务整体发展规划，明确发展目标、业务布局与实施路径；
2. 完成至少1条增值业务线商业模式框架设计，包括盈利模式、核心资源、关键流程等；
3. 输出增值业务发展规划及各业务线商业计划书（框架版）。</t>
  </si>
  <si>
    <t>1. 规划完整、商业模式清晰、路径可落地得20分；
2. 完成规划但商业模式较粗得15分；
3. 有框架但内容较浅得10分；
4. 未完成得0分。</t>
  </si>
  <si>
    <t>增值业务发展规划；
各业务线商业计划书（框架）</t>
  </si>
  <si>
    <t>增值业务产品体系框架设计</t>
  </si>
  <si>
    <t>1. 完成至少一类增值业务线产品体系框架设计，明确核心产品、产品层级、定价策略、交付标准等；
2. 识别重点优先发展的产品方向，制定产品迭代路线图；
3. 输出产品体系规划文档。</t>
  </si>
  <si>
    <t>1. 产品体系完整、重点突出、路线清晰得20分；
2. 完成主要产品线但细节待完善得15分；
3. 仅有初步框架得5分；
4. 未开展得0分。</t>
  </si>
  <si>
    <t>产品体系规划文档；</t>
  </si>
  <si>
    <t>商点管理体系搭建与网点赋能</t>
  </si>
  <si>
    <t>商点管理体系框架设计</t>
  </si>
  <si>
    <t>1. 基于CATL政策导向，设计"商点结合"管理体系整体框架，明确公司（商）与网点（点）的权责划分、利益分配、协同机制；
2. 设计网点分级管理体系、赋能体系、考核激励体系的核心框架；
3. 输出商点管理体系建设方案（框架版）。</t>
  </si>
  <si>
    <t>1. 体系框架完整、逻辑清晰、可操作性强得25分；
2. 完成主要框架但部分模块缺失得15分；
3. 有框架但较粗、落地性不足得10分；
4. 未完成得0分。</t>
  </si>
  <si>
    <t>商点管理体系建设方案（框架）；</t>
  </si>
  <si>
    <t>团队融入与协作</t>
  </si>
  <si>
    <t>团队融入</t>
  </si>
  <si>
    <t>1. 快速熟悉组织架构、业务模式、企业文化及团队成员；
2. 基本掌握在手工作事项与进展。</t>
  </si>
  <si>
    <t>1. 融入快、工作清晰、无遗漏得10分；
2. 基本了解工作得5分；
3. 或融入较慢得2分；
4. 严重滞后得0分。</t>
  </si>
  <si>
    <t>团队反馈</t>
  </si>
  <si>
    <t>跨部门协作与沟通</t>
  </si>
  <si>
    <t>1. 主动与核心协作部门建立沟通机制；
2. 协作顺畅，无因沟通导致的工作延误。</t>
  </si>
  <si>
    <t>1. 主动沟通、协作顺畅、反馈良好得10分；
2. 基本满足协作需求得5分；
3. 沟通被动或有轻微延误得2分；
4. 严重影响协作得0分。</t>
  </si>
  <si>
    <t>加减分数项</t>
  </si>
  <si>
    <t>/</t>
  </si>
  <si>
    <t>1.加分项：
  • 商业模式探索取得重大突破，超额完成验证目标；
  • 运用个人资源引入重要合作伙伴或业务机会；
  • 商点管理体系建设创新成效显著；
  • 其他上级判定的加分事项。
2.减分项：
  • 因个人工作失误导致非重大经济损失（＜5000元）或业务影响；
  • 工作延误影响整体项目进度；
  • 其他上级判定的减分事项。</t>
  </si>
  <si>
    <t>1.加分项：每达成一项，根据成果价值加5-20分；
2.减分项：每发生一项，根据行为影响扣5-20分。</t>
  </si>
  <si>
    <t>工作成果记录；
处罚通知单；
其他明确依据。</t>
  </si>
  <si>
    <t>一票否决</t>
  </si>
  <si>
    <t>严重违纪：包括但不限于《奖惩管理制度》中的严重违纪行为，如：处理不当导致严重后果的重大经济损失、重大合规处罚、泄露商业秘密等</t>
  </si>
  <si>
    <t>出现任意项，则当月绩效总得分为0</t>
  </si>
  <si>
    <t>处罚通知单</t>
  </si>
  <si>
    <t>月度绩效总分</t>
  </si>
  <si>
    <t>自我评定总结、发展计划与工作建议：</t>
  </si>
  <si>
    <t>绩效沟通之上级主管建议：</t>
  </si>
  <si>
    <t>试用期绩效考核表（第2个月）</t>
  </si>
  <si>
    <t>重点业务商业模式验证推进</t>
  </si>
  <si>
    <t>1. 选择1-2条重点增值业务线，推进商业模式验证试点，明确验证目标、验证指标与时间节点；
2. 完成商业模式核心假设的验证测试，收集验证数据；
3. 输出商业模式验证阶段性报告。</t>
  </si>
  <si>
    <t>1. 试点推进顺利、验证数据充分、结论清晰得20分；
2. 启动验证但进展偏慢得15分；
3. 仅做准备未实质推进得10分；
4. 未开展得0分。</t>
  </si>
  <si>
    <t>商业模式验证方案；
验证数据及阶段性报告</t>
  </si>
  <si>
    <t>增值业务产品体系搭建</t>
  </si>
  <si>
    <t>1. 完成核心增值业务产品线的产品体系搭建，包括产品手册、服务标准、交付流程、定价体系等；
2. 至少完成2款核心产品的标准化设计与包装；
3. 输出产品体系相关标准文档。</t>
  </si>
  <si>
    <t>1. 产品体系完整、标准化程度高得15分；
2. 完成主要产品但标准化待完善得10分；
3. 仅有部分产品文档得5分；
4. 未开展得0分。</t>
  </si>
  <si>
    <t>产品手册；
服务标准文档；
定价体系表</t>
  </si>
  <si>
    <t>创新业务机会研究与储备</t>
  </si>
  <si>
    <t>1. 开展新能源汽车后市场创新业务机会研究，识别至少1-2个潜在创新方向；
2. 完成1-2个创新方向的可行性初步分析，包括市场规模、竞争格局、盈利前景等；
3. 输出创新业务机会研究报告。</t>
  </si>
  <si>
    <t>1. 研究深入、机会识别精准、可行性分析充分得15分；
2. 完成机会识别但可行性分析较浅得10分；
3. 仅有初步方向得5分；
4. 未开展得0分。</t>
  </si>
  <si>
    <t>创新业务机会研究报告；
可行性分析报告</t>
  </si>
  <si>
    <t>商点管理体系核心制度建设</t>
  </si>
  <si>
    <t>1. 完成增值业务商点管理核心制度文件制定，包括网点准入标准、合作协议模板、网点管理办法等；
2. 建立网点分级管理标准与考核指标体系；
3. 输出商点管理制度文件包（至少3份核心制度）。</t>
  </si>
  <si>
    <t>1. 制度体系完整、可操作性强得15分；
2. 完成主要制度但部分待完善得10分；
3. 仅有零散制度得5分；
4. 未开展得0分。</t>
  </si>
  <si>
    <t>商点管理制度文件；
合作协议模板；
分级管理标准</t>
  </si>
  <si>
    <t>网点赋能体系初步建立</t>
  </si>
  <si>
    <t>1. 设计网点赋能体系框架，包括产品赋能、技术赋能、运营赋能三大模块；
2. 完成首批赋能工具包/培训材料的开发（至少2个模块）；
3. 开展至少1次网点赋能培训试点。</t>
  </si>
  <si>
    <t>1. 体系框架清晰、赋能材料完成且试点效果好得15分；
2. 完成框架但赋能材料不足得10分；
3. 仅有初步设想得5分；
4. 未开展得0分。</t>
  </si>
  <si>
    <t>网点赋能体系方案；
赋能培训材料；
培训试点记录</t>
  </si>
  <si>
    <t>团队管理与分工</t>
  </si>
  <si>
    <t>1. 了解各核心成员工作职责及工作风格；
2. 清晰掌握在手工作事项与进展。</t>
  </si>
  <si>
    <t>跨部门协作效率</t>
  </si>
  <si>
    <t>1. 跨部门协同顺畅，主动推进协作事项；
2. 各核心协作部门满意度≥80%。</t>
  </si>
  <si>
    <t>1. 满意度≥85%且无延误得10分；
2. 满意度80-84%得5分；
3. 满意度＜80%或有延误得2分；
4. 严重影响协作得0分。</t>
  </si>
  <si>
    <t>试用期绩效考核表（第3个月）</t>
  </si>
  <si>
    <t>增值业务商业模式落地</t>
  </si>
  <si>
    <t>1.  至少2条增值业务线实现双印合同落地，形成稳定收入来源。</t>
  </si>
  <si>
    <t>1. 合同签订2份以上得20分；
2. 合同签订数2份得15分；
3. 合同签订1份得10分；
4. 合同未签订得0分。</t>
  </si>
  <si>
    <t>双印合同；
营收数据台账；</t>
  </si>
  <si>
    <t>产品体系完善与标准化</t>
  </si>
  <si>
    <t>1. 完成至少2-3条增值业务线核心产品体系的完善与标准化，形成完整的产品手册、服务标准、交付流程；
2. 产品标准化覆盖率≥80%；
3. 建立产品迭代优化机制。</t>
  </si>
  <si>
    <t>1. 产品体系完整、标准化程度高、机制健全得15分；
2. 基本完成但部分产品待完善得10分；
3. 标准化覆盖率不足得5分；
4. 未完成得0分。</t>
  </si>
  <si>
    <t>产品体系手册；
标准化文档；
产品迭代机制</t>
  </si>
  <si>
    <t>增值业务阶段性复盘与下阶段规划</t>
  </si>
  <si>
    <t>1. 复盘试用期增值业务工作成果与不足，形成复盘报告；
2. 制定下阶段增值业务发展规划与重点工作安排；
3. 明确各业务线阶段性目标与关键里程碑。</t>
  </si>
  <si>
    <t>1. 复盘深入、规划清晰、目标明确得10分；
2. 基本完成但深度不足得5分；
3. 仅有简单总结得2分；
4. 未开展得0分。</t>
  </si>
  <si>
    <t>试用期工作复盘报告；
下阶段发展规划</t>
  </si>
  <si>
    <t>商点管理体系全面建成</t>
  </si>
  <si>
    <t>1. 商点管理体系全面建成，包括准入管理、分级管理、考核激励、赋能培训、退出机制等完整模块；
2. 核心制度流程全部发布实施；
3. 商点管理体系具备全面推广条件。</t>
  </si>
  <si>
    <t>1. 体系完整、制度齐全、可全面推广得20分；
2. 基本建成但部分模块待优化得15分；
3. 核心模块缺失得10分；
4. 未完成体系建设得0分。</t>
  </si>
  <si>
    <t>商点管理体系手册；
制度流程文件；
推广方案</t>
  </si>
  <si>
    <t>网点赋能与试点成效</t>
  </si>
  <si>
    <t>1. 完成网点赋能体系建设，赋能工具包/培训材料覆盖产品、技术、运营三大模块；
2. 完成至少2家试点网点的赋能落地，试点网点增值业务渗透率有明显提升；
3. 输出网点赋能成效评估报告。</t>
  </si>
  <si>
    <t>1. 赋能体系完整、试点效果显著、评估客观得15分；
2. 完成赋能但效果一般得10分；
3. 赋能不全面、效果不明显得5分；
4. 未完成赋能试点得0分。</t>
  </si>
  <si>
    <t>网点赋能体系；
赋能培训记录；
成效评估报告</t>
  </si>
  <si>
    <t>团队建设与能力提升</t>
  </si>
  <si>
    <t>跨部门协作成果</t>
  </si>
  <si>
    <t>试用期综合评定表</t>
  </si>
  <si>
    <t>姓名</t>
  </si>
  <si>
    <t>__________</t>
  </si>
  <si>
    <t>部门</t>
  </si>
  <si>
    <t>增值业务与商点管理中心</t>
  </si>
  <si>
    <t>职位</t>
  </si>
  <si>
    <t>入职日期</t>
  </si>
  <si>
    <t>试用期</t>
  </si>
  <si>
    <t>三个月</t>
  </si>
  <si>
    <t>中心总监</t>
  </si>
  <si>
    <t>考核人</t>
  </si>
  <si>
    <t>总（副）经理、综合管理部</t>
  </si>
  <si>
    <t>评定日期</t>
  </si>
  <si>
    <t>一、月度考核得分汇总</t>
  </si>
  <si>
    <t>考核月份</t>
  </si>
  <si>
    <t>月度得分</t>
  </si>
  <si>
    <t>加权得分</t>
  </si>
  <si>
    <t>第一个月</t>
  </si>
  <si>
    <t>侧重调研摸底与规划输出</t>
  </si>
  <si>
    <t>第二个月</t>
  </si>
  <si>
    <t>侧重体系搭建与模式验证</t>
  </si>
  <si>
    <t>第三个月</t>
  </si>
  <si>
    <t>侧重成果验收与体系成熟</t>
  </si>
  <si>
    <t>试用期综合得分</t>
  </si>
  <si>
    <t>二、考核等级与转正评定</t>
  </si>
  <si>
    <t>考核等级</t>
  </si>
  <si>
    <t>得分区间</t>
  </si>
  <si>
    <t>转正建议</t>
  </si>
  <si>
    <t>说明</t>
  </si>
  <si>
    <t>评定结果（√）</t>
  </si>
  <si>
    <t>优秀</t>
  </si>
  <si>
    <t>≥90分</t>
  </si>
  <si>
    <t>提前转正</t>
  </si>
  <si>
    <t>表现突出，超出岗位预期</t>
  </si>
  <si>
    <t>□</t>
  </si>
  <si>
    <t>合格</t>
  </si>
  <si>
    <t>80-89分</t>
  </si>
  <si>
    <t>按期转正</t>
  </si>
  <si>
    <t>胜任岗位要求，符合转正条件</t>
  </si>
  <si>
    <t>基本合格</t>
  </si>
  <si>
    <t>70-79分</t>
  </si>
  <si>
    <t>延长试用期或调整岗位</t>
  </si>
  <si>
    <t>胜任能力需再观察</t>
  </si>
  <si>
    <t>不合格</t>
  </si>
  <si>
    <t>＜70分</t>
  </si>
  <si>
    <t>不予转正，解除劳动合同</t>
  </si>
  <si>
    <t>不胜任岗位要求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</si>
</sst>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4"/>
      <color theme="0"/>
      <name val="微软雅黑"/>
      <charset val="134"/>
    </font>
    <font>
      <sz val="11"/>
      <color theme="0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0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2C3E5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2"/>
      <color rgb="FF2C3E5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8"/>
        <bgColor rgb="FFF8F9FA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/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/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8" fillId="6" borderId="2" xfId="0" applyNumberFormat="1" applyFont="1" applyFill="1" applyBorder="1" applyAlignment="1" applyProtection="1">
      <alignment horizontal="center" vertical="center" wrapText="1"/>
    </xf>
    <xf numFmtId="0" fontId="9" fillId="7" borderId="1" xfId="0" applyNumberFormat="1" applyFont="1" applyFill="1" applyBorder="1" applyAlignment="1" applyProtection="1">
      <alignment horizontal="center" vertical="center" wrapText="1"/>
    </xf>
    <xf numFmtId="0" fontId="10" fillId="7" borderId="1" xfId="0" applyNumberFormat="1" applyFont="1" applyFill="1" applyBorder="1" applyAlignment="1" applyProtection="1">
      <alignment horizontal="center" vertical="center" wrapText="1"/>
    </xf>
    <xf numFmtId="0" fontId="9" fillId="8" borderId="1" xfId="0" applyNumberFormat="1" applyFont="1" applyFill="1" applyBorder="1" applyAlignment="1" applyProtection="1">
      <alignment horizontal="center" vertical="center" wrapText="1"/>
    </xf>
    <xf numFmtId="0" fontId="10" fillId="8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0" fillId="8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3"/>
  <sheetViews>
    <sheetView workbookViewId="0">
      <selection activeCell="F5" sqref="F5"/>
    </sheetView>
  </sheetViews>
  <sheetFormatPr defaultColWidth="9" defaultRowHeight="13.85" outlineLevelCol="1"/>
  <cols>
    <col min="1" max="1" width="12" style="27" customWidth="1"/>
    <col min="2" max="2" width="60" style="27" customWidth="1"/>
    <col min="3" max="16384" width="9" style="26"/>
  </cols>
  <sheetData>
    <row r="1" s="26" customFormat="1" ht="35" customHeight="1" spans="1:2">
      <c r="A1" s="28" t="s">
        <v>0</v>
      </c>
      <c r="B1" s="27"/>
    </row>
    <row r="2" s="26" customFormat="1" ht="25" customHeight="1" spans="1:2">
      <c r="A2" s="29" t="s">
        <v>1</v>
      </c>
      <c r="B2" s="30" t="s">
        <v>2</v>
      </c>
    </row>
    <row r="3" s="26" customFormat="1" ht="22" customHeight="1" spans="1:2">
      <c r="A3" s="31" t="s">
        <v>3</v>
      </c>
      <c r="B3" s="32" t="s">
        <v>4</v>
      </c>
    </row>
    <row r="4" s="26" customFormat="1" ht="22" customHeight="1" spans="1:2">
      <c r="A4" s="33" t="s">
        <v>5</v>
      </c>
      <c r="B4" s="33" t="s">
        <v>5</v>
      </c>
    </row>
    <row r="5" s="26" customFormat="1" ht="46" customHeight="1" spans="1:2">
      <c r="A5" s="31" t="s">
        <v>6</v>
      </c>
      <c r="B5" s="34" t="s">
        <v>7</v>
      </c>
    </row>
    <row r="6" s="26" customFormat="1" ht="22" customHeight="1" spans="1:2">
      <c r="A6" s="31"/>
      <c r="B6" s="33" t="s">
        <v>8</v>
      </c>
    </row>
    <row r="7" s="26" customFormat="1" ht="22" customHeight="1" spans="1:2">
      <c r="A7" s="33" t="s">
        <v>5</v>
      </c>
      <c r="B7" s="33" t="s">
        <v>5</v>
      </c>
    </row>
    <row r="8" s="26" customFormat="1" ht="44" customHeight="1" spans="1:2">
      <c r="A8" s="31" t="s">
        <v>9</v>
      </c>
      <c r="B8" s="34" t="s">
        <v>10</v>
      </c>
    </row>
    <row r="9" s="26" customFormat="1" ht="40" customHeight="1" spans="1:2">
      <c r="A9" s="31"/>
      <c r="B9" s="33" t="s">
        <v>11</v>
      </c>
    </row>
    <row r="10" s="26" customFormat="1" ht="22" customHeight="1" spans="1:2">
      <c r="A10" s="33" t="s">
        <v>5</v>
      </c>
      <c r="B10" s="33" t="s">
        <v>5</v>
      </c>
    </row>
    <row r="11" s="26" customFormat="1" ht="45" customHeight="1" spans="1:2">
      <c r="A11" s="31" t="s">
        <v>12</v>
      </c>
      <c r="B11" s="34" t="s">
        <v>13</v>
      </c>
    </row>
    <row r="12" s="26" customFormat="1" ht="22" customHeight="1" spans="1:2">
      <c r="A12" s="35"/>
      <c r="B12" s="35"/>
    </row>
    <row r="13" s="26" customFormat="1" ht="16.9" spans="1:2">
      <c r="A13" s="36" t="s">
        <v>14</v>
      </c>
      <c r="B13" s="35"/>
    </row>
  </sheetData>
  <mergeCells count="4">
    <mergeCell ref="A1:B1"/>
    <mergeCell ref="A13:B13"/>
    <mergeCell ref="A5:A6"/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"/>
  <sheetViews>
    <sheetView zoomScale="70" zoomScaleNormal="70" workbookViewId="0">
      <selection activeCell="E7" sqref="E7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0" customWidth="1"/>
    <col min="7" max="7" width="8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12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0" customHeight="1" spans="1:12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23</v>
      </c>
      <c r="L2" s="10" t="s">
        <v>26</v>
      </c>
    </row>
    <row r="3" ht="84" customHeight="1" spans="1:12">
      <c r="A3" s="8" t="s">
        <v>27</v>
      </c>
      <c r="B3" s="11" t="s">
        <v>28</v>
      </c>
      <c r="C3" s="12">
        <v>0.15</v>
      </c>
      <c r="D3" s="18" t="s">
        <v>29</v>
      </c>
      <c r="E3" s="18" t="s">
        <v>30</v>
      </c>
      <c r="F3" s="18" t="s">
        <v>31</v>
      </c>
      <c r="G3" s="4"/>
      <c r="H3" s="16"/>
      <c r="I3" s="4">
        <v>0</v>
      </c>
      <c r="J3" s="4">
        <v>0</v>
      </c>
      <c r="K3" s="16"/>
      <c r="L3" s="4"/>
    </row>
    <row r="4" ht="88" customHeight="1" spans="1:12">
      <c r="A4" s="24"/>
      <c r="B4" s="11" t="s">
        <v>32</v>
      </c>
      <c r="C4" s="12">
        <v>0.2</v>
      </c>
      <c r="D4" s="18" t="s">
        <v>33</v>
      </c>
      <c r="E4" s="18" t="s">
        <v>34</v>
      </c>
      <c r="F4" s="18" t="s">
        <v>35</v>
      </c>
      <c r="G4" s="4"/>
      <c r="H4" s="16"/>
      <c r="I4" s="4">
        <v>0</v>
      </c>
      <c r="J4" s="4">
        <v>0</v>
      </c>
      <c r="K4" s="16"/>
      <c r="L4" s="4"/>
    </row>
    <row r="5" ht="84" customHeight="1" spans="1:12">
      <c r="A5" s="24"/>
      <c r="B5" s="11" t="s">
        <v>36</v>
      </c>
      <c r="C5" s="12">
        <v>0.2</v>
      </c>
      <c r="D5" s="18" t="s">
        <v>37</v>
      </c>
      <c r="E5" s="18" t="s">
        <v>38</v>
      </c>
      <c r="F5" s="18" t="s">
        <v>39</v>
      </c>
      <c r="G5" s="4"/>
      <c r="H5" s="16"/>
      <c r="I5" s="4">
        <v>0</v>
      </c>
      <c r="J5" s="4">
        <v>0</v>
      </c>
      <c r="K5" s="16"/>
      <c r="L5" s="4"/>
    </row>
    <row r="6" ht="72" customHeight="1" spans="1:12">
      <c r="A6" s="25" t="s">
        <v>40</v>
      </c>
      <c r="B6" s="11" t="s">
        <v>41</v>
      </c>
      <c r="C6" s="12">
        <v>0.25</v>
      </c>
      <c r="D6" s="18" t="s">
        <v>42</v>
      </c>
      <c r="E6" s="18" t="s">
        <v>43</v>
      </c>
      <c r="F6" s="18" t="s">
        <v>44</v>
      </c>
      <c r="G6" s="4"/>
      <c r="H6" s="16"/>
      <c r="I6" s="4">
        <v>0</v>
      </c>
      <c r="J6" s="4">
        <v>0</v>
      </c>
      <c r="K6" s="16"/>
      <c r="L6" s="4"/>
    </row>
    <row r="7" ht="72" customHeight="1" spans="1:12">
      <c r="A7" s="8" t="s">
        <v>45</v>
      </c>
      <c r="B7" s="11" t="s">
        <v>46</v>
      </c>
      <c r="C7" s="12">
        <v>0.1</v>
      </c>
      <c r="D7" s="18" t="s">
        <v>47</v>
      </c>
      <c r="E7" s="18" t="s">
        <v>48</v>
      </c>
      <c r="F7" s="18" t="s">
        <v>49</v>
      </c>
      <c r="G7" s="4"/>
      <c r="H7" s="16"/>
      <c r="I7" s="4">
        <v>0</v>
      </c>
      <c r="J7" s="4">
        <v>0</v>
      </c>
      <c r="K7" s="16"/>
      <c r="L7" s="4"/>
    </row>
    <row r="8" ht="72" customHeight="1" spans="1:12">
      <c r="A8" s="24"/>
      <c r="B8" s="11" t="s">
        <v>50</v>
      </c>
      <c r="C8" s="12">
        <v>0.1</v>
      </c>
      <c r="D8" s="18" t="s">
        <v>51</v>
      </c>
      <c r="E8" s="18" t="s">
        <v>52</v>
      </c>
      <c r="F8" s="19"/>
      <c r="G8" s="4"/>
      <c r="H8" s="16"/>
      <c r="I8" s="4">
        <v>0</v>
      </c>
      <c r="J8" s="4">
        <v>0</v>
      </c>
      <c r="K8" s="16"/>
      <c r="L8" s="4"/>
    </row>
    <row r="9" ht="180" customHeight="1" spans="1:12">
      <c r="A9" s="8" t="s">
        <v>53</v>
      </c>
      <c r="B9" s="8"/>
      <c r="C9" s="20" t="s">
        <v>54</v>
      </c>
      <c r="D9" s="18" t="s">
        <v>55</v>
      </c>
      <c r="E9" s="18" t="s">
        <v>56</v>
      </c>
      <c r="F9" s="18" t="s">
        <v>57</v>
      </c>
      <c r="G9" s="21"/>
      <c r="H9" s="21"/>
      <c r="I9" s="4">
        <v>0</v>
      </c>
      <c r="J9" s="4" t="s">
        <v>54</v>
      </c>
      <c r="K9" s="21"/>
      <c r="L9" s="21"/>
    </row>
    <row r="10" ht="60" customHeight="1" spans="1:12">
      <c r="A10" s="8" t="s">
        <v>58</v>
      </c>
      <c r="B10" s="8"/>
      <c r="C10" s="20" t="s">
        <v>54</v>
      </c>
      <c r="D10" s="18" t="s">
        <v>59</v>
      </c>
      <c r="E10" s="18" t="s">
        <v>60</v>
      </c>
      <c r="F10" s="18" t="s">
        <v>61</v>
      </c>
      <c r="G10" s="21"/>
      <c r="H10" s="21"/>
      <c r="I10" s="4" t="s">
        <v>54</v>
      </c>
      <c r="J10" s="4" t="s">
        <v>54</v>
      </c>
      <c r="K10" s="21"/>
      <c r="L10" s="21"/>
    </row>
    <row r="11" ht="30" customHeight="1" spans="1:12">
      <c r="A11" s="22" t="s">
        <v>62</v>
      </c>
      <c r="B11" s="7"/>
      <c r="C11" s="7"/>
      <c r="D11" s="22">
        <f>SUM(I3:I8)*0.8+SUM(J3:J8)*0.2+I9</f>
        <v>0</v>
      </c>
      <c r="E11" s="7"/>
      <c r="F11" s="7"/>
      <c r="G11" s="7"/>
      <c r="H11" s="7"/>
      <c r="I11" s="7"/>
      <c r="J11" s="7"/>
      <c r="K11" s="7"/>
      <c r="L11" s="7"/>
    </row>
    <row r="12" ht="25" customHeight="1" spans="1:12">
      <c r="A12" s="23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25" customHeight="1" spans="1:12">
      <c r="A13" s="2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5" customHeight="1" spans="1:12">
      <c r="A14" s="23" t="s">
        <v>64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5" customHeight="1" spans="1:12">
      <c r="A15" s="2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11">
    <mergeCell ref="A1:L1"/>
    <mergeCell ref="A9:B9"/>
    <mergeCell ref="A10:B10"/>
    <mergeCell ref="A11:C11"/>
    <mergeCell ref="A12:L12"/>
    <mergeCell ref="A13:L13"/>
    <mergeCell ref="A14:L14"/>
    <mergeCell ref="A15:L15"/>
    <mergeCell ref="A3:A5"/>
    <mergeCell ref="A7:A8"/>
    <mergeCell ref="F7:F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zoomScale="60" zoomScaleNormal="60" workbookViewId="0">
      <selection activeCell="E5" sqref="E5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0" customWidth="1"/>
    <col min="7" max="7" width="8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12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0" customHeight="1" spans="1:12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23</v>
      </c>
      <c r="L2" s="10" t="s">
        <v>26</v>
      </c>
    </row>
    <row r="3" ht="72" customHeight="1" spans="1:12">
      <c r="A3" s="8" t="s">
        <v>27</v>
      </c>
      <c r="B3" s="11" t="s">
        <v>66</v>
      </c>
      <c r="C3" s="12">
        <v>0.2</v>
      </c>
      <c r="D3" s="18" t="s">
        <v>67</v>
      </c>
      <c r="E3" s="18" t="s">
        <v>68</v>
      </c>
      <c r="F3" s="18" t="s">
        <v>69</v>
      </c>
      <c r="G3" s="4"/>
      <c r="H3" s="16"/>
      <c r="I3" s="4">
        <v>0</v>
      </c>
      <c r="J3" s="4">
        <v>0</v>
      </c>
      <c r="K3" s="16"/>
      <c r="L3" s="4"/>
    </row>
    <row r="4" ht="72" customHeight="1" spans="1:12">
      <c r="A4" s="17"/>
      <c r="B4" s="11" t="s">
        <v>70</v>
      </c>
      <c r="C4" s="12">
        <v>0.15</v>
      </c>
      <c r="D4" s="18" t="s">
        <v>71</v>
      </c>
      <c r="E4" s="18" t="s">
        <v>72</v>
      </c>
      <c r="F4" s="18" t="s">
        <v>73</v>
      </c>
      <c r="G4" s="4"/>
      <c r="H4" s="16"/>
      <c r="I4" s="4">
        <v>0</v>
      </c>
      <c r="J4" s="4">
        <v>0</v>
      </c>
      <c r="K4" s="16"/>
      <c r="L4" s="4"/>
    </row>
    <row r="5" ht="72" customHeight="1" spans="1:12">
      <c r="A5" s="17"/>
      <c r="B5" s="11" t="s">
        <v>74</v>
      </c>
      <c r="C5" s="12">
        <v>0.15</v>
      </c>
      <c r="D5" s="18" t="s">
        <v>75</v>
      </c>
      <c r="E5" s="18" t="s">
        <v>76</v>
      </c>
      <c r="F5" s="18" t="s">
        <v>77</v>
      </c>
      <c r="G5" s="4"/>
      <c r="H5" s="16"/>
      <c r="I5" s="4">
        <v>0</v>
      </c>
      <c r="J5" s="4">
        <v>0</v>
      </c>
      <c r="K5" s="16"/>
      <c r="L5" s="4"/>
    </row>
    <row r="6" ht="72" customHeight="1" spans="1:12">
      <c r="A6" s="8" t="s">
        <v>40</v>
      </c>
      <c r="B6" s="11" t="s">
        <v>78</v>
      </c>
      <c r="C6" s="12">
        <v>0.15</v>
      </c>
      <c r="D6" s="18" t="s">
        <v>79</v>
      </c>
      <c r="E6" s="18" t="s">
        <v>80</v>
      </c>
      <c r="F6" s="18" t="s">
        <v>81</v>
      </c>
      <c r="G6" s="4"/>
      <c r="H6" s="16"/>
      <c r="I6" s="4">
        <v>0</v>
      </c>
      <c r="J6" s="4">
        <v>0</v>
      </c>
      <c r="K6" s="16"/>
      <c r="L6" s="4"/>
    </row>
    <row r="7" ht="72" customHeight="1" spans="1:12">
      <c r="A7" s="17"/>
      <c r="B7" s="11" t="s">
        <v>82</v>
      </c>
      <c r="C7" s="12">
        <v>0.15</v>
      </c>
      <c r="D7" s="18" t="s">
        <v>83</v>
      </c>
      <c r="E7" s="18" t="s">
        <v>84</v>
      </c>
      <c r="F7" s="18" t="s">
        <v>85</v>
      </c>
      <c r="G7" s="4"/>
      <c r="H7" s="16"/>
      <c r="I7" s="4">
        <v>0</v>
      </c>
      <c r="J7" s="4">
        <v>0</v>
      </c>
      <c r="K7" s="16"/>
      <c r="L7" s="4"/>
    </row>
    <row r="8" ht="72" customHeight="1" spans="1:12">
      <c r="A8" s="8" t="s">
        <v>45</v>
      </c>
      <c r="B8" s="11" t="s">
        <v>86</v>
      </c>
      <c r="C8" s="12">
        <v>0.1</v>
      </c>
      <c r="D8" s="18" t="s">
        <v>87</v>
      </c>
      <c r="E8" s="18" t="s">
        <v>48</v>
      </c>
      <c r="F8" s="18" t="s">
        <v>49</v>
      </c>
      <c r="G8" s="4"/>
      <c r="H8" s="16"/>
      <c r="I8" s="4">
        <v>0</v>
      </c>
      <c r="J8" s="4">
        <v>0</v>
      </c>
      <c r="K8" s="16"/>
      <c r="L8" s="4"/>
    </row>
    <row r="9" ht="72" customHeight="1" spans="1:12">
      <c r="A9" s="17"/>
      <c r="B9" s="11" t="s">
        <v>88</v>
      </c>
      <c r="C9" s="12">
        <v>0.1</v>
      </c>
      <c r="D9" s="18" t="s">
        <v>89</v>
      </c>
      <c r="E9" s="18" t="s">
        <v>90</v>
      </c>
      <c r="F9" s="19"/>
      <c r="G9" s="4"/>
      <c r="H9" s="16"/>
      <c r="I9" s="4">
        <v>0</v>
      </c>
      <c r="J9" s="4">
        <v>0</v>
      </c>
      <c r="K9" s="16"/>
      <c r="L9" s="4"/>
    </row>
    <row r="10" ht="180" customHeight="1" spans="1:12">
      <c r="A10" s="8" t="s">
        <v>53</v>
      </c>
      <c r="B10" s="8"/>
      <c r="C10" s="20" t="s">
        <v>54</v>
      </c>
      <c r="D10" s="18" t="s">
        <v>55</v>
      </c>
      <c r="E10" s="18" t="s">
        <v>56</v>
      </c>
      <c r="F10" s="18" t="s">
        <v>57</v>
      </c>
      <c r="G10" s="21"/>
      <c r="H10" s="21"/>
      <c r="I10" s="4">
        <v>0</v>
      </c>
      <c r="J10" s="4" t="s">
        <v>54</v>
      </c>
      <c r="K10" s="21"/>
      <c r="L10" s="21"/>
    </row>
    <row r="11" ht="60" customHeight="1" spans="1:12">
      <c r="A11" s="8" t="s">
        <v>58</v>
      </c>
      <c r="B11" s="8"/>
      <c r="C11" s="20" t="s">
        <v>54</v>
      </c>
      <c r="D11" s="18" t="s">
        <v>59</v>
      </c>
      <c r="E11" s="18" t="s">
        <v>60</v>
      </c>
      <c r="F11" s="18" t="s">
        <v>61</v>
      </c>
      <c r="G11" s="21"/>
      <c r="H11" s="21"/>
      <c r="I11" s="4" t="s">
        <v>54</v>
      </c>
      <c r="J11" s="4" t="s">
        <v>54</v>
      </c>
      <c r="K11" s="21"/>
      <c r="L11" s="21"/>
    </row>
    <row r="12" ht="30" customHeight="1" spans="1:12">
      <c r="A12" s="22" t="s">
        <v>62</v>
      </c>
      <c r="B12" s="7"/>
      <c r="C12" s="7"/>
      <c r="D12" s="22">
        <f>SUM(I3:I9)*0.8+SUM(J3:J9)*0.2+I10</f>
        <v>0</v>
      </c>
      <c r="E12" s="7"/>
      <c r="F12" s="7"/>
      <c r="G12" s="7"/>
      <c r="H12" s="7"/>
      <c r="I12" s="7"/>
      <c r="J12" s="7"/>
      <c r="K12" s="7"/>
      <c r="L12" s="7"/>
    </row>
    <row r="13" ht="25" customHeight="1" spans="1:12">
      <c r="A13" s="23" t="s">
        <v>63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5" customHeight="1" spans="1:12">
      <c r="A14" s="2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5" customHeight="1" spans="1:12">
      <c r="A15" s="23" t="s">
        <v>64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25" customHeight="1" spans="1:12">
      <c r="A16" s="2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mergeCells count="12">
    <mergeCell ref="A1:L1"/>
    <mergeCell ref="A10:B10"/>
    <mergeCell ref="A11:B11"/>
    <mergeCell ref="A12:C12"/>
    <mergeCell ref="A13:L13"/>
    <mergeCell ref="A14:L14"/>
    <mergeCell ref="A15:L15"/>
    <mergeCell ref="A16:L16"/>
    <mergeCell ref="A3:A5"/>
    <mergeCell ref="A6:A7"/>
    <mergeCell ref="A8:A9"/>
    <mergeCell ref="F8:F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tabSelected="1" zoomScale="60" zoomScaleNormal="60" topLeftCell="A2" workbookViewId="0">
      <selection activeCell="G7" sqref="G7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7.6194690265487" customWidth="1"/>
    <col min="6" max="6" width="20" customWidth="1"/>
    <col min="7" max="7" width="8" customWidth="1"/>
    <col min="8" max="8" width="25" customWidth="1"/>
    <col min="9" max="10" width="12" customWidth="1"/>
    <col min="11" max="11" width="25" customWidth="1"/>
    <col min="12" max="12" width="10" customWidth="1"/>
  </cols>
  <sheetData>
    <row r="1" ht="30" customHeight="1" spans="1:12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0" customHeight="1" spans="1:12">
      <c r="A2" s="10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23</v>
      </c>
      <c r="L2" s="10" t="s">
        <v>26</v>
      </c>
    </row>
    <row r="3" ht="55" customHeight="1" spans="1:12">
      <c r="A3" s="8" t="s">
        <v>27</v>
      </c>
      <c r="B3" s="11" t="s">
        <v>92</v>
      </c>
      <c r="C3" s="12">
        <v>0.2</v>
      </c>
      <c r="D3" s="13" t="s">
        <v>93</v>
      </c>
      <c r="E3" s="14" t="s">
        <v>94</v>
      </c>
      <c r="F3" s="15" t="s">
        <v>95</v>
      </c>
      <c r="G3" s="4"/>
      <c r="H3" s="16"/>
      <c r="I3" s="4">
        <v>0</v>
      </c>
      <c r="J3" s="4">
        <v>0</v>
      </c>
      <c r="K3" s="16"/>
      <c r="L3" s="4"/>
    </row>
    <row r="4" ht="72" customHeight="1" spans="1:12">
      <c r="A4" s="17"/>
      <c r="B4" s="11" t="s">
        <v>96</v>
      </c>
      <c r="C4" s="12">
        <v>0.15</v>
      </c>
      <c r="D4" s="18" t="s">
        <v>97</v>
      </c>
      <c r="E4" s="18" t="s">
        <v>98</v>
      </c>
      <c r="F4" s="18" t="s">
        <v>99</v>
      </c>
      <c r="G4" s="4"/>
      <c r="H4" s="16"/>
      <c r="I4" s="4">
        <v>0</v>
      </c>
      <c r="J4" s="4">
        <v>0</v>
      </c>
      <c r="K4" s="16"/>
      <c r="L4" s="4"/>
    </row>
    <row r="5" ht="72" customHeight="1" spans="1:12">
      <c r="A5" s="17"/>
      <c r="B5" s="11" t="s">
        <v>100</v>
      </c>
      <c r="C5" s="12">
        <v>0.1</v>
      </c>
      <c r="D5" s="18" t="s">
        <v>101</v>
      </c>
      <c r="E5" s="18" t="s">
        <v>102</v>
      </c>
      <c r="F5" s="18" t="s">
        <v>103</v>
      </c>
      <c r="G5" s="4"/>
      <c r="H5" s="16"/>
      <c r="I5" s="4">
        <v>0</v>
      </c>
      <c r="J5" s="4">
        <v>0</v>
      </c>
      <c r="K5" s="16"/>
      <c r="L5" s="4"/>
    </row>
    <row r="6" ht="72" customHeight="1" spans="1:12">
      <c r="A6" s="8" t="s">
        <v>40</v>
      </c>
      <c r="B6" s="11" t="s">
        <v>104</v>
      </c>
      <c r="C6" s="12">
        <v>0.2</v>
      </c>
      <c r="D6" s="18" t="s">
        <v>105</v>
      </c>
      <c r="E6" s="18" t="s">
        <v>106</v>
      </c>
      <c r="F6" s="18" t="s">
        <v>107</v>
      </c>
      <c r="G6" s="4"/>
      <c r="H6" s="16"/>
      <c r="I6" s="4">
        <v>0</v>
      </c>
      <c r="J6" s="4">
        <v>0</v>
      </c>
      <c r="K6" s="16"/>
      <c r="L6" s="4"/>
    </row>
    <row r="7" ht="72" customHeight="1" spans="1:12">
      <c r="A7" s="17"/>
      <c r="B7" s="11" t="s">
        <v>108</v>
      </c>
      <c r="C7" s="12">
        <v>0.15</v>
      </c>
      <c r="D7" s="18" t="s">
        <v>109</v>
      </c>
      <c r="E7" s="18" t="s">
        <v>110</v>
      </c>
      <c r="F7" s="18" t="s">
        <v>111</v>
      </c>
      <c r="G7" s="4"/>
      <c r="H7" s="16"/>
      <c r="I7" s="4">
        <v>0</v>
      </c>
      <c r="J7" s="4">
        <v>0</v>
      </c>
      <c r="K7" s="16"/>
      <c r="L7" s="4"/>
    </row>
    <row r="8" ht="72" customHeight="1" spans="1:12">
      <c r="A8" s="8" t="s">
        <v>45</v>
      </c>
      <c r="B8" s="11" t="s">
        <v>112</v>
      </c>
      <c r="C8" s="12">
        <v>0.1</v>
      </c>
      <c r="D8" s="18" t="s">
        <v>87</v>
      </c>
      <c r="E8" s="18" t="s">
        <v>48</v>
      </c>
      <c r="F8" s="18" t="s">
        <v>49</v>
      </c>
      <c r="G8" s="4"/>
      <c r="H8" s="16"/>
      <c r="I8" s="4">
        <v>0</v>
      </c>
      <c r="J8" s="4">
        <v>0</v>
      </c>
      <c r="K8" s="16"/>
      <c r="L8" s="4"/>
    </row>
    <row r="9" ht="72" customHeight="1" spans="1:12">
      <c r="A9" s="17"/>
      <c r="B9" s="11" t="s">
        <v>113</v>
      </c>
      <c r="C9" s="12">
        <v>0.1</v>
      </c>
      <c r="D9" s="18" t="s">
        <v>89</v>
      </c>
      <c r="E9" s="18" t="s">
        <v>90</v>
      </c>
      <c r="F9" s="19"/>
      <c r="G9" s="4"/>
      <c r="H9" s="16"/>
      <c r="I9" s="4">
        <v>0</v>
      </c>
      <c r="J9" s="4">
        <v>0</v>
      </c>
      <c r="K9" s="16"/>
      <c r="L9" s="4"/>
    </row>
    <row r="10" ht="180" customHeight="1" spans="1:12">
      <c r="A10" s="8" t="s">
        <v>53</v>
      </c>
      <c r="B10" s="8"/>
      <c r="C10" s="20" t="s">
        <v>54</v>
      </c>
      <c r="D10" s="18" t="s">
        <v>55</v>
      </c>
      <c r="E10" s="18" t="s">
        <v>56</v>
      </c>
      <c r="F10" s="18" t="s">
        <v>57</v>
      </c>
      <c r="G10" s="21"/>
      <c r="H10" s="21"/>
      <c r="I10" s="4">
        <v>0</v>
      </c>
      <c r="J10" s="4" t="s">
        <v>54</v>
      </c>
      <c r="K10" s="21"/>
      <c r="L10" s="21"/>
    </row>
    <row r="11" ht="60" customHeight="1" spans="1:12">
      <c r="A11" s="8" t="s">
        <v>58</v>
      </c>
      <c r="B11" s="8"/>
      <c r="C11" s="20" t="s">
        <v>54</v>
      </c>
      <c r="D11" s="18" t="s">
        <v>59</v>
      </c>
      <c r="E11" s="18" t="s">
        <v>60</v>
      </c>
      <c r="F11" s="18" t="s">
        <v>61</v>
      </c>
      <c r="G11" s="21"/>
      <c r="H11" s="21"/>
      <c r="I11" s="4" t="s">
        <v>54</v>
      </c>
      <c r="J11" s="4" t="s">
        <v>54</v>
      </c>
      <c r="K11" s="21"/>
      <c r="L11" s="21"/>
    </row>
    <row r="12" ht="30" customHeight="1" spans="1:12">
      <c r="A12" s="22" t="s">
        <v>62</v>
      </c>
      <c r="B12" s="7"/>
      <c r="C12" s="7"/>
      <c r="D12" s="22">
        <f>SUM(I3:I9)*0.8+SUM(J3:J9)*0.2+I10</f>
        <v>0</v>
      </c>
      <c r="E12" s="7"/>
      <c r="F12" s="7"/>
      <c r="G12" s="7"/>
      <c r="H12" s="7"/>
      <c r="I12" s="7"/>
      <c r="J12" s="7"/>
      <c r="K12" s="7"/>
      <c r="L12" s="7"/>
    </row>
    <row r="13" ht="25" customHeight="1" spans="1:12">
      <c r="A13" s="23" t="s">
        <v>63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5" customHeight="1" spans="1:12">
      <c r="A14" s="2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5" customHeight="1" spans="1:12">
      <c r="A15" s="23" t="s">
        <v>64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25" customHeight="1" spans="1:12">
      <c r="A16" s="2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mergeCells count="12">
    <mergeCell ref="A1:L1"/>
    <mergeCell ref="A10:B10"/>
    <mergeCell ref="A11:B11"/>
    <mergeCell ref="A12:C12"/>
    <mergeCell ref="A13:L13"/>
    <mergeCell ref="A14:L14"/>
    <mergeCell ref="A15:L15"/>
    <mergeCell ref="A16:L16"/>
    <mergeCell ref="A3:A5"/>
    <mergeCell ref="A6:A7"/>
    <mergeCell ref="A8:A9"/>
    <mergeCell ref="F8:F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8"/>
  <sheetViews>
    <sheetView zoomScale="90" zoomScaleNormal="90" topLeftCell="A3" workbookViewId="0">
      <selection activeCell="J11" sqref="J11"/>
    </sheetView>
  </sheetViews>
  <sheetFormatPr defaultColWidth="8" defaultRowHeight="13.85" outlineLevelCol="4"/>
  <cols>
    <col min="1" max="1" width="18" customWidth="1"/>
    <col min="2" max="2" width="20" customWidth="1"/>
    <col min="3" max="3" width="15" customWidth="1"/>
    <col min="4" max="4" width="25" customWidth="1"/>
    <col min="5" max="5" width="26.1592920353982" customWidth="1"/>
  </cols>
  <sheetData>
    <row r="1" ht="30" customHeight="1" spans="1:5">
      <c r="A1" s="1" t="s">
        <v>114</v>
      </c>
      <c r="B1" s="2"/>
      <c r="C1" s="2"/>
      <c r="D1" s="2"/>
      <c r="E1" s="2"/>
    </row>
    <row r="2" ht="25" customHeight="1" spans="1:5">
      <c r="A2" s="3" t="s">
        <v>115</v>
      </c>
      <c r="B2" s="4" t="s">
        <v>116</v>
      </c>
      <c r="C2" s="3" t="s">
        <v>117</v>
      </c>
      <c r="D2" s="4" t="s">
        <v>118</v>
      </c>
      <c r="E2" s="4" t="s">
        <v>119</v>
      </c>
    </row>
    <row r="3" ht="25" customHeight="1" spans="1:5">
      <c r="A3" s="3" t="s">
        <v>120</v>
      </c>
      <c r="B3" s="4" t="s">
        <v>116</v>
      </c>
      <c r="C3" s="3" t="s">
        <v>121</v>
      </c>
      <c r="D3" s="4" t="s">
        <v>122</v>
      </c>
      <c r="E3" s="4" t="s">
        <v>123</v>
      </c>
    </row>
    <row r="4" ht="27" customHeight="1" spans="1:5">
      <c r="A4" s="3" t="s">
        <v>124</v>
      </c>
      <c r="B4" s="4" t="s">
        <v>125</v>
      </c>
      <c r="C4" s="3" t="s">
        <v>126</v>
      </c>
      <c r="D4" s="4" t="s">
        <v>116</v>
      </c>
      <c r="E4" s="4"/>
    </row>
    <row r="5" spans="1:5">
      <c r="A5" s="5"/>
      <c r="B5" s="5"/>
      <c r="C5" s="5"/>
      <c r="D5" s="5"/>
      <c r="E5" s="5"/>
    </row>
    <row r="6" ht="25" customHeight="1" spans="1:5">
      <c r="A6" s="6" t="s">
        <v>127</v>
      </c>
      <c r="B6" s="7"/>
      <c r="C6" s="7"/>
      <c r="D6" s="7"/>
      <c r="E6" s="7"/>
    </row>
    <row r="7" ht="25" customHeight="1" spans="1:5">
      <c r="A7" s="8" t="s">
        <v>128</v>
      </c>
      <c r="B7" s="8" t="s">
        <v>129</v>
      </c>
      <c r="C7" s="8" t="s">
        <v>18</v>
      </c>
      <c r="D7" s="8" t="s">
        <v>130</v>
      </c>
      <c r="E7" s="8" t="s">
        <v>26</v>
      </c>
    </row>
    <row r="8" ht="25" customHeight="1" spans="1:5">
      <c r="A8" s="4" t="s">
        <v>131</v>
      </c>
      <c r="B8" s="4">
        <f>第一个月考核表!D11</f>
        <v>0</v>
      </c>
      <c r="C8" s="4">
        <v>0.3</v>
      </c>
      <c r="D8" s="4">
        <f>B8*C8</f>
        <v>0</v>
      </c>
      <c r="E8" s="4" t="s">
        <v>132</v>
      </c>
    </row>
    <row r="9" ht="25" customHeight="1" spans="1:5">
      <c r="A9" s="4" t="s">
        <v>133</v>
      </c>
      <c r="B9" s="4">
        <f>第二个月考核表!D12</f>
        <v>0</v>
      </c>
      <c r="C9" s="4">
        <v>0.3</v>
      </c>
      <c r="D9" s="4">
        <f>B9*C9</f>
        <v>0</v>
      </c>
      <c r="E9" s="4" t="s">
        <v>134</v>
      </c>
    </row>
    <row r="10" ht="25" customHeight="1" spans="1:5">
      <c r="A10" s="4" t="s">
        <v>135</v>
      </c>
      <c r="B10" s="4">
        <f>第三个月考核表!D12</f>
        <v>0</v>
      </c>
      <c r="C10" s="4">
        <v>0.4</v>
      </c>
      <c r="D10" s="4">
        <f>B10*C10</f>
        <v>0</v>
      </c>
      <c r="E10" s="4" t="s">
        <v>136</v>
      </c>
    </row>
    <row r="11" ht="30" customHeight="1" spans="1:5">
      <c r="A11" s="3" t="s">
        <v>137</v>
      </c>
      <c r="B11" s="9"/>
      <c r="C11" s="9"/>
      <c r="D11" s="3">
        <f>SUM(D8:D10)</f>
        <v>0</v>
      </c>
      <c r="E11" s="9"/>
    </row>
    <row r="12" spans="1:5">
      <c r="A12" s="5"/>
      <c r="B12" s="5"/>
      <c r="C12" s="5"/>
      <c r="D12" s="5"/>
      <c r="E12" s="5"/>
    </row>
    <row r="13" ht="25" customHeight="1" spans="1:5">
      <c r="A13" s="6" t="s">
        <v>138</v>
      </c>
      <c r="B13" s="7"/>
      <c r="C13" s="7"/>
      <c r="D13" s="7"/>
      <c r="E13" s="7"/>
    </row>
    <row r="14" ht="25" customHeight="1" spans="1:5">
      <c r="A14" s="8" t="s">
        <v>139</v>
      </c>
      <c r="B14" s="8" t="s">
        <v>140</v>
      </c>
      <c r="C14" s="8" t="s">
        <v>141</v>
      </c>
      <c r="D14" s="8" t="s">
        <v>142</v>
      </c>
      <c r="E14" s="8" t="s">
        <v>143</v>
      </c>
    </row>
    <row r="15" ht="25" customHeight="1" spans="1:5">
      <c r="A15" s="4" t="s">
        <v>144</v>
      </c>
      <c r="B15" s="4" t="s">
        <v>145</v>
      </c>
      <c r="C15" s="4" t="s">
        <v>146</v>
      </c>
      <c r="D15" s="4" t="s">
        <v>147</v>
      </c>
      <c r="E15" s="4" t="s">
        <v>148</v>
      </c>
    </row>
    <row r="16" ht="25" customHeight="1" spans="1:5">
      <c r="A16" s="4" t="s">
        <v>149</v>
      </c>
      <c r="B16" s="4" t="s">
        <v>150</v>
      </c>
      <c r="C16" s="4" t="s">
        <v>151</v>
      </c>
      <c r="D16" s="4" t="s">
        <v>152</v>
      </c>
      <c r="E16" s="4" t="s">
        <v>148</v>
      </c>
    </row>
    <row r="17" ht="25" customHeight="1" spans="1:5">
      <c r="A17" s="4" t="s">
        <v>153</v>
      </c>
      <c r="B17" s="4" t="s">
        <v>154</v>
      </c>
      <c r="C17" s="4" t="s">
        <v>155</v>
      </c>
      <c r="D17" s="4" t="s">
        <v>156</v>
      </c>
      <c r="E17" s="4" t="s">
        <v>148</v>
      </c>
    </row>
    <row r="18" ht="25" customHeight="1" spans="1:5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148</v>
      </c>
    </row>
  </sheetData>
  <mergeCells count="4">
    <mergeCell ref="A1:E1"/>
    <mergeCell ref="A6:E6"/>
    <mergeCell ref="A11:C11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录用条件说明</vt:lpstr>
      <vt:lpstr>第一个月考核表</vt:lpstr>
      <vt:lpstr>第二个月考核表</vt:lpstr>
      <vt:lpstr>第三个月考核表</vt:lpstr>
      <vt:lpstr>试用期综合评定表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2026-08-03T03:38:00Z</dcterms:created>
  <dcterms:modified xsi:type="dcterms:W3CDTF">2026-08-03T06:14:31Z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{"Label":"1","ContentProducer":"001191110102MACQD9K64010000","ProduceID":"7669644542544006409","ReservedCode1":"","ContentPropagator":"","PropagateID":"","ReservedCode2":""}</vt:lpwstr>
  </property>
  <property fmtid="{D5CDD505-2E9C-101B-9397-08002B2CF9AE}" pid="3" name="ICV">
    <vt:lpwstr>75B2BD3DE0DF487C8B6C2126ADDDAAF2_13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