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activeTab="1"/>
  </bookViews>
  <sheets>
    <sheet name="录用条件说明" sheetId="1" r:id="rId1"/>
    <sheet name="试用期考核表" sheetId="5" r:id="rId2"/>
    <sheet name="考核结果运用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syl</author>
  </authors>
  <commentList>
    <comment ref="G3" authorId="0">
      <text>
        <r>
          <rPr>
            <sz val="10"/>
            <rFont val="宋体"/>
            <charset val="134"/>
          </rPr>
          <t>syl:
本人自评</t>
        </r>
      </text>
    </comment>
    <comment ref="H3" authorId="0">
      <text>
        <r>
          <rPr>
            <sz val="10"/>
            <rFont val="宋体"/>
            <charset val="134"/>
          </rPr>
          <t>syl:
本人举证</t>
        </r>
      </text>
    </comment>
    <comment ref="I12" authorId="0">
      <text>
        <r>
          <rPr>
            <b/>
            <sz val="9"/>
            <rFont val="宋体"/>
            <charset val="134"/>
          </rPr>
          <t>syl:</t>
        </r>
        <r>
          <rPr>
            <sz val="9"/>
            <rFont val="宋体"/>
            <charset val="134"/>
          </rPr>
          <t xml:space="preserve">
减分使用-号</t>
        </r>
      </text>
    </comment>
  </commentList>
</comments>
</file>

<file path=xl/sharedStrings.xml><?xml version="1.0" encoding="utf-8"?>
<sst xmlns="http://schemas.openxmlformats.org/spreadsheetml/2006/main" count="99" uniqueCount="89">
  <si>
    <t>试用期绩效考核表说明</t>
  </si>
  <si>
    <t>文件名称</t>
  </si>
  <si>
    <t>试用期绩效考核表（闫贺）202605</t>
  </si>
  <si>
    <t>员工姓名</t>
  </si>
  <si>
    <t>闫贺</t>
  </si>
  <si>
    <t/>
  </si>
  <si>
    <t>一、说明</t>
  </si>
  <si>
    <t>本考核表所包含的全部内容（各工作表）均作为员工录用条件的重要组成部分。</t>
  </si>
  <si>
    <t>员工在入职时已充分阅读、理解并认可本考核表的所有条款和要求。</t>
  </si>
  <si>
    <t>二、考核表组成</t>
  </si>
  <si>
    <t>1. 试用期绩效考核表：针对试用期工作表现的考核指标和评价标准</t>
  </si>
  <si>
    <t>2. 考核结果运用：明确考核结果与试用期转正、薪资调整等的关联规则</t>
  </si>
  <si>
    <t>三、签收确认</t>
  </si>
  <si>
    <t>员工确认：本人已收到并理解上述考核表内容，同意将其作为录用条件执行。</t>
  </si>
  <si>
    <r>
      <rPr>
        <b/>
        <sz val="12"/>
        <color rgb="FF2C3E50"/>
        <rFont val="微软雅黑"/>
        <charset val="134"/>
      </rPr>
      <t>员工签收：__________________________     日期：</t>
    </r>
    <r>
      <rPr>
        <b/>
        <u/>
        <sz val="12"/>
        <color rgb="FF2C3E50"/>
        <rFont val="微软雅黑"/>
        <charset val="134"/>
      </rPr>
      <t>_2026___</t>
    </r>
    <r>
      <rPr>
        <b/>
        <sz val="12"/>
        <color rgb="FFFF0000"/>
        <rFont val="微软雅黑"/>
        <charset val="134"/>
      </rPr>
      <t>年</t>
    </r>
    <r>
      <rPr>
        <b/>
        <u/>
        <sz val="12"/>
        <color rgb="FFFF0000"/>
        <rFont val="微软雅黑"/>
        <charset val="134"/>
      </rPr>
      <t>_5__</t>
    </r>
    <r>
      <rPr>
        <b/>
        <sz val="12"/>
        <color rgb="FFFF0000"/>
        <rFont val="微软雅黑"/>
        <charset val="134"/>
      </rPr>
      <t>月</t>
    </r>
    <r>
      <rPr>
        <b/>
        <u/>
        <sz val="12"/>
        <color rgb="FFFF0000"/>
        <rFont val="微软雅黑"/>
        <charset val="134"/>
      </rPr>
      <t>__25_</t>
    </r>
    <r>
      <rPr>
        <b/>
        <sz val="12"/>
        <color rgb="FFFF0000"/>
        <rFont val="微软雅黑"/>
        <charset val="134"/>
      </rPr>
      <t>日</t>
    </r>
  </si>
  <si>
    <t>绩效管理表（2026年）</t>
  </si>
  <si>
    <r>
      <rPr>
        <sz val="12"/>
        <color theme="1"/>
        <rFont val="微软雅黑"/>
        <charset val="134"/>
      </rPr>
      <t>部门：商点生态管理中心             职位：部门总监            被考核人姓名：闫贺           考核人姓名：许国亮            绩效管理周期：</t>
    </r>
    <r>
      <rPr>
        <sz val="12"/>
        <color rgb="FFFF0000"/>
        <rFont val="微软雅黑"/>
        <charset val="134"/>
      </rPr>
      <t>2026年5月25日-8月24日</t>
    </r>
  </si>
  <si>
    <t>考核维度</t>
  </si>
  <si>
    <t>指标名称</t>
  </si>
  <si>
    <t>权重</t>
  </si>
  <si>
    <t>考核目标/标准</t>
  </si>
  <si>
    <t>具体评分规则</t>
  </si>
  <si>
    <t>考核依据</t>
  </si>
  <si>
    <t>自评分</t>
  </si>
  <si>
    <t>实际完成情况（事实举证）</t>
  </si>
  <si>
    <t>集团副总经理评分80%</t>
  </si>
  <si>
    <t>360度评分20%</t>
  </si>
  <si>
    <t>备注</t>
  </si>
  <si>
    <t>服务站运营标准化</t>
  </si>
  <si>
    <t>服务站基础维修业务标准化体系搭建</t>
  </si>
  <si>
    <t>1. 完成全国服务站基础维修业务标准化手册编制（含流程、制度、执行工具），内容包含但不限于基础业务开发、保内保外服务流程、安全生产、6S、技术服务SOP、报单、库存、资产、数据系统等（三个月内完成整体框架设计及核心模块内容制作）；</t>
  </si>
  <si>
    <t>1.核心内容完整度≥80% 并通过审批：得 40 分；完整度＜80%：得 20 分；未完成：得 0 分</t>
  </si>
  <si>
    <t xml:space="preserve">服务站运营标准化手册、
标准化手册培训记录、
</t>
  </si>
  <si>
    <t>2. 针对标杆服务站，运营标准化体系启动50%权重内容的推行实施；</t>
  </si>
  <si>
    <t>2.覆盖率≥50%：得 10 分；覆盖率＜50%：得 5分；未推行：得 0 分</t>
  </si>
  <si>
    <t>日常运营管控</t>
  </si>
  <si>
    <t>运营数据看板建立及运行</t>
  </si>
  <si>
    <t>1. 搭建服务站核心运营数据看板；</t>
  </si>
  <si>
    <t>1. 按时搭建且指标齐全：得 8 分；延迟搭建 / 指标不全：得 4-6 分；未搭建：得 0 分；</t>
  </si>
  <si>
    <t>运营数据看板、
运营指标分析报告、</t>
  </si>
  <si>
    <t>2. 确保看板数据来源合规、更新及时；</t>
  </si>
  <si>
    <t>2. 数据更新及时率≥95%：得 6 分；90%-94%：得 4 分；＜90%：得 0-2 分；</t>
  </si>
  <si>
    <t>3. 至少输出 2次数据看板分析报告，提出 1-2 项运营优化建议</t>
  </si>
  <si>
    <t>3. 完成分析报告及有效建议：得 6 分；报告和建议完成质量一般：得 3 分；未完成：得 0 分</t>
  </si>
  <si>
    <t>增值业务导入</t>
  </si>
  <si>
    <t>增值业务网点导入计划</t>
  </si>
  <si>
    <r>
      <rPr>
        <sz val="11"/>
        <color theme="1"/>
        <rFont val="微软雅黑"/>
        <charset val="134"/>
      </rPr>
      <t xml:space="preserve">1. 根据集团增值业务模式成熟度，制定对应的增值业务在服务站导入计划，明确试点网点、时间节点；
</t>
    </r>
    <r>
      <rPr>
        <sz val="11"/>
        <color rgb="FFFF0000"/>
        <rFont val="微软雅黑"/>
        <charset val="134"/>
      </rPr>
      <t>注：如因集团增值业务模式进度迟缓导致无法试点，本KPI可免责</t>
    </r>
  </si>
  <si>
    <t>1. 计划可实施性强且通过审批：得 10 分；计划不完善：得 5分；未制定：得 0 分；</t>
  </si>
  <si>
    <t>增值业务导入计划</t>
  </si>
  <si>
    <t xml:space="preserve"> 经营目标达成</t>
  </si>
  <si>
    <t>服务站整体业绩目标达成</t>
  </si>
  <si>
    <t>1. 服务站整体营收、产值、毛利同比 / 环比均实现非负增长；</t>
  </si>
  <si>
    <t>1. 三项均达标：得 10 分；1-2 项达标：得 5分；均不达标：得 0 分</t>
  </si>
  <si>
    <t>月度经营报表及财报</t>
  </si>
  <si>
    <t>内部沟通与协调</t>
  </si>
  <si>
    <t>跨部门协作效率</t>
  </si>
  <si>
    <t>1. 跨部门协同顺畅，无因沟通导致的工作延误；
2. 各核心协作人满意度≥85%</t>
  </si>
  <si>
    <t>1.满意度≥80% 且无延误：得 10 分；未达标：得 5 分；严重延误 / 低满意度：得 0 分</t>
  </si>
  <si>
    <t>各核心协作人满意度评分表</t>
  </si>
  <si>
    <t>加减分数项</t>
  </si>
  <si>
    <t>/</t>
  </si>
  <si>
    <r>
      <t>1.加分项：</t>
    </r>
    <r>
      <rPr>
        <sz val="11"/>
        <color theme="1"/>
        <rFont val="微软雅黑"/>
        <charset val="134"/>
      </rPr>
      <t xml:space="preserve">
运用个人资源达成增值业务合同签订且产生营收；
运用个人资源解决核心工作项目的关键卡点；
其他集团总经理/副总经理判定的加分事项。
</t>
    </r>
    <r>
      <rPr>
        <b/>
        <sz val="11"/>
        <color theme="1"/>
        <rFont val="微软雅黑"/>
        <charset val="134"/>
      </rPr>
      <t>2.减分项：</t>
    </r>
    <r>
      <rPr>
        <sz val="11"/>
        <color theme="1"/>
        <rFont val="微软雅黑"/>
        <charset val="134"/>
      </rPr>
      <t xml:space="preserve">
因个人工作失误导致项目延期、客户投诉、非重大经济损失（＜5000元）等《奖惩管理制度》中约定的非严重违纪行为；
其他集团总经理/副总经理判定的减分事项。</t>
    </r>
  </si>
  <si>
    <t>1.加分项：每达成一项，根据成果价值加5-20分；
2.减分项：每发生一项，根据行为影响扣5-20分。</t>
  </si>
  <si>
    <t>有效合作协议；
卡点解决相关记录；
处罚通知单；
其他明确依据。</t>
  </si>
  <si>
    <t>一票否决</t>
  </si>
  <si>
    <r>
      <rPr>
        <b/>
        <sz val="11"/>
        <color theme="1"/>
        <rFont val="微软雅黑"/>
        <charset val="134"/>
      </rPr>
      <t>严重违纪：</t>
    </r>
    <r>
      <rPr>
        <sz val="11"/>
        <color theme="1"/>
        <rFont val="微软雅黑"/>
        <charset val="134"/>
      </rPr>
      <t>包括但不限于《奖惩管理制度》中的严重违纪行为，如：处理不当导致严重后果的重大经济损失（品牌损害）、重大合规处罚、重大安全事故、资质吊销/降级、泄露商业秘密等</t>
    </r>
  </si>
  <si>
    <t>出现任意项，则当月绩效总得分为0</t>
  </si>
  <si>
    <t>处罚通知单</t>
  </si>
  <si>
    <t>月度绩效总分</t>
  </si>
  <si>
    <t>自我评定总结、发展计划与工作建议：</t>
  </si>
  <si>
    <t>绩效沟通之上级主管建议：</t>
  </si>
  <si>
    <t>绩效考核结果应用</t>
  </si>
  <si>
    <t>绩效等级</t>
  </si>
  <si>
    <t>试用期考核得分S</t>
  </si>
  <si>
    <t>考核结果应用</t>
  </si>
  <si>
    <t>卓越A+</t>
  </si>
  <si>
    <t>S≥100</t>
  </si>
  <si>
    <t>提前转正</t>
  </si>
  <si>
    <t>优秀A</t>
  </si>
  <si>
    <r>
      <rPr>
        <sz val="11"/>
        <color theme="1"/>
        <rFont val="微软雅黑"/>
        <charset val="134"/>
      </rPr>
      <t>90≤S</t>
    </r>
    <r>
      <rPr>
        <sz val="11"/>
        <color theme="1"/>
        <rFont val="宋体"/>
        <charset val="134"/>
      </rPr>
      <t>˂</t>
    </r>
    <r>
      <rPr>
        <sz val="11"/>
        <color theme="1"/>
        <rFont val="微软雅黑"/>
        <charset val="134"/>
      </rPr>
      <t>100</t>
    </r>
  </si>
  <si>
    <t>好B</t>
  </si>
  <si>
    <r>
      <rPr>
        <sz val="11"/>
        <color theme="1"/>
        <rFont val="微软雅黑"/>
        <charset val="134"/>
      </rPr>
      <t>80≤S</t>
    </r>
    <r>
      <rPr>
        <sz val="11"/>
        <color theme="1"/>
        <rFont val="宋体"/>
        <charset val="134"/>
      </rPr>
      <t>˂</t>
    </r>
    <r>
      <rPr>
        <sz val="11"/>
        <color theme="1"/>
        <rFont val="微软雅黑"/>
        <charset val="134"/>
      </rPr>
      <t>90</t>
    </r>
  </si>
  <si>
    <t>期满转正</t>
  </si>
  <si>
    <t>良C</t>
  </si>
  <si>
    <r>
      <rPr>
        <sz val="11"/>
        <color theme="1"/>
        <rFont val="微软雅黑"/>
        <charset val="134"/>
      </rPr>
      <t>70≤S</t>
    </r>
    <r>
      <rPr>
        <sz val="11"/>
        <color theme="1"/>
        <rFont val="宋体"/>
        <charset val="134"/>
      </rPr>
      <t>˂</t>
    </r>
    <r>
      <rPr>
        <sz val="11"/>
        <color theme="1"/>
        <rFont val="微软雅黑"/>
        <charset val="134"/>
      </rPr>
      <t>80</t>
    </r>
  </si>
  <si>
    <t>延长试用期/调岗</t>
  </si>
  <si>
    <t>不合格D</t>
  </si>
  <si>
    <r>
      <rPr>
        <sz val="11"/>
        <color theme="1"/>
        <rFont val="微软雅黑"/>
        <charset val="134"/>
      </rPr>
      <t>S</t>
    </r>
    <r>
      <rPr>
        <sz val="11"/>
        <color theme="1"/>
        <rFont val="宋体"/>
        <charset val="134"/>
      </rPr>
      <t>˂</t>
    </r>
    <r>
      <rPr>
        <sz val="11"/>
        <color theme="1"/>
        <rFont val="微软雅黑"/>
        <charset val="134"/>
      </rPr>
      <t>70</t>
    </r>
  </si>
  <si>
    <t>解除劳动合同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</si>
</sst>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24"/>
      <color theme="0"/>
      <name val="微软雅黑"/>
      <charset val="134"/>
    </font>
    <font>
      <sz val="11"/>
      <color theme="0"/>
      <name val="微软雅黑"/>
      <charset val="134"/>
    </font>
    <font>
      <sz val="24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rgb="FF000000"/>
      <name val="微软雅黑"/>
      <charset val="134"/>
    </font>
    <font>
      <sz val="12"/>
      <color rgb="FF000000"/>
      <name val="微软雅黑"/>
      <charset val="134"/>
    </font>
    <font>
      <b/>
      <sz val="16"/>
      <color rgb="FFFFFFFF"/>
      <name val="微软雅黑"/>
      <charset val="134"/>
    </font>
    <font>
      <b/>
      <sz val="11"/>
      <color rgb="FF333333"/>
      <name val="微软雅黑"/>
      <charset val="134"/>
    </font>
    <font>
      <sz val="11"/>
      <color rgb="FF333333"/>
      <name val="微软雅黑"/>
      <charset val="134"/>
    </font>
    <font>
      <b/>
      <sz val="12"/>
      <color rgb="FF2C3E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微软雅黑"/>
      <charset val="134"/>
    </font>
    <font>
      <sz val="11"/>
      <color theme="1"/>
      <name val="宋体"/>
      <charset val="134"/>
    </font>
    <font>
      <sz val="11"/>
      <color rgb="FFFF0000"/>
      <name val="微软雅黑"/>
      <charset val="134"/>
    </font>
    <font>
      <b/>
      <u/>
      <sz val="12"/>
      <color rgb="FF2C3E50"/>
      <name val="微软雅黑"/>
      <charset val="134"/>
    </font>
    <font>
      <b/>
      <sz val="12"/>
      <color rgb="FFFF0000"/>
      <name val="微软雅黑"/>
      <charset val="134"/>
    </font>
    <font>
      <b/>
      <u/>
      <sz val="12"/>
      <color rgb="FFFF0000"/>
      <name val="微软雅黑"/>
      <charset val="134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10" borderId="14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15">
      <alignment vertical="center"/>
    </xf>
    <xf numFmtId="0" fontId="21" fillId="0" borderId="15">
      <alignment vertical="center"/>
    </xf>
    <xf numFmtId="0" fontId="22" fillId="0" borderId="16">
      <alignment vertical="center"/>
    </xf>
    <xf numFmtId="0" fontId="22" fillId="0" borderId="0">
      <alignment vertical="center"/>
    </xf>
    <xf numFmtId="0" fontId="23" fillId="11" borderId="17">
      <alignment vertical="center"/>
    </xf>
    <xf numFmtId="0" fontId="24" fillId="12" borderId="18">
      <alignment vertical="center"/>
    </xf>
    <xf numFmtId="0" fontId="25" fillId="12" borderId="17">
      <alignment vertical="center"/>
    </xf>
    <xf numFmtId="0" fontId="26" fillId="13" borderId="19">
      <alignment vertical="center"/>
    </xf>
    <xf numFmtId="0" fontId="27" fillId="0" borderId="20">
      <alignment vertical="center"/>
    </xf>
    <xf numFmtId="0" fontId="28" fillId="0" borderId="21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1" fillId="16" borderId="0">
      <alignment vertical="center"/>
    </xf>
    <xf numFmtId="0" fontId="32" fillId="2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3" fillId="33" borderId="0">
      <alignment vertical="center"/>
    </xf>
    <xf numFmtId="0" fontId="33" fillId="34" borderId="0">
      <alignment vertical="center"/>
    </xf>
    <xf numFmtId="0" fontId="32" fillId="35" borderId="0">
      <alignment vertical="center"/>
    </xf>
    <xf numFmtId="0" fontId="32" fillId="36" borderId="0">
      <alignment vertical="center"/>
    </xf>
    <xf numFmtId="0" fontId="33" fillId="37" borderId="0">
      <alignment vertical="center"/>
    </xf>
    <xf numFmtId="0" fontId="33" fillId="38" borderId="0">
      <alignment vertical="center"/>
    </xf>
    <xf numFmtId="0" fontId="32" fillId="39" borderId="0">
      <alignment vertical="center"/>
    </xf>
  </cellStyleXfs>
  <cellXfs count="5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4" borderId="4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1" fillId="0" borderId="6" xfId="0" applyFont="1" applyBorder="1" applyAlignment="1"/>
    <xf numFmtId="0" fontId="6" fillId="5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8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vertical="center" wrapText="1"/>
    </xf>
    <xf numFmtId="9" fontId="6" fillId="0" borderId="9" xfId="0" applyNumberFormat="1" applyFont="1" applyBorder="1" applyAlignment="1">
      <alignment horizontal="center" vertical="center" wrapText="1"/>
    </xf>
    <xf numFmtId="9" fontId="1" fillId="0" borderId="9" xfId="0" applyNumberFormat="1" applyFont="1" applyBorder="1" applyAlignment="1">
      <alignment horizontal="center" vertical="center" wrapText="1"/>
    </xf>
    <xf numFmtId="9" fontId="6" fillId="0" borderId="11" xfId="0" applyNumberFormat="1" applyFont="1" applyBorder="1" applyAlignment="1">
      <alignment horizontal="center" vertical="center" wrapText="1"/>
    </xf>
    <xf numFmtId="9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9" fontId="6" fillId="0" borderId="10" xfId="0" applyNumberFormat="1" applyFont="1" applyBorder="1" applyAlignment="1">
      <alignment horizontal="center" vertical="center" wrapText="1"/>
    </xf>
    <xf numFmtId="9" fontId="1" fillId="0" borderId="10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/>
    <xf numFmtId="0" fontId="9" fillId="4" borderId="1" xfId="0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 indent="1"/>
    </xf>
    <xf numFmtId="0" fontId="0" fillId="0" borderId="0" xfId="0" applyAlignment="1"/>
    <xf numFmtId="0" fontId="11" fillId="7" borderId="12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0" xfId="0" applyBorder="1" applyAlignment="1"/>
    <xf numFmtId="0" fontId="14" fillId="0" borderId="13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showGridLines="0" workbookViewId="0">
      <selection activeCell="E11" sqref="E11"/>
    </sheetView>
  </sheetViews>
  <sheetFormatPr defaultColWidth="9" defaultRowHeight="13.5" outlineLevelCol="1"/>
  <cols>
    <col min="1" max="1" width="12" style="48" customWidth="1"/>
    <col min="2" max="2" width="63.3893805309735" style="48" customWidth="1"/>
  </cols>
  <sheetData>
    <row r="1" ht="35" customHeight="1" spans="1:2">
      <c r="A1" s="49" t="s">
        <v>0</v>
      </c>
    </row>
    <row r="2" ht="25" customHeight="1" spans="1:2">
      <c r="A2" s="50" t="s">
        <v>1</v>
      </c>
      <c r="B2" s="51" t="s">
        <v>2</v>
      </c>
    </row>
    <row r="3" ht="22" customHeight="1" spans="1:2">
      <c r="A3" s="50" t="s">
        <v>3</v>
      </c>
      <c r="B3" s="51" t="s">
        <v>4</v>
      </c>
    </row>
    <row r="4" ht="22" customHeight="1" spans="1:2">
      <c r="A4" s="52" t="s">
        <v>5</v>
      </c>
      <c r="B4" s="52"/>
    </row>
    <row r="5" ht="46" customHeight="1" spans="1:2">
      <c r="A5" s="50" t="s">
        <v>6</v>
      </c>
      <c r="B5" s="53" t="s">
        <v>7</v>
      </c>
    </row>
    <row r="6" ht="22" customHeight="1" spans="1:2">
      <c r="A6" s="50"/>
      <c r="B6" s="54" t="s">
        <v>8</v>
      </c>
    </row>
    <row r="7" ht="22" customHeight="1" spans="1:2">
      <c r="A7" s="52" t="s">
        <v>5</v>
      </c>
      <c r="B7" s="52"/>
    </row>
    <row r="8" ht="41" customHeight="1" spans="1:2">
      <c r="A8" s="50" t="s">
        <v>9</v>
      </c>
      <c r="B8" s="53" t="s">
        <v>10</v>
      </c>
    </row>
    <row r="9" ht="22" customHeight="1" spans="1:2">
      <c r="A9" s="50"/>
      <c r="B9" s="55" t="s">
        <v>11</v>
      </c>
    </row>
    <row r="10" ht="22" customHeight="1" spans="1:2">
      <c r="A10" s="52" t="s">
        <v>5</v>
      </c>
      <c r="B10" s="52"/>
    </row>
    <row r="11" ht="45" customHeight="1" spans="1:2">
      <c r="A11" s="50" t="s">
        <v>12</v>
      </c>
      <c r="B11" s="53" t="s">
        <v>13</v>
      </c>
    </row>
    <row r="12" ht="22" customHeight="1" spans="1:2">
      <c r="A12" s="56"/>
    </row>
    <row r="13" ht="16.9" spans="1:2">
      <c r="A13" s="57" t="s">
        <v>14</v>
      </c>
    </row>
  </sheetData>
  <mergeCells count="7">
    <mergeCell ref="A1:B1"/>
    <mergeCell ref="A4:B4"/>
    <mergeCell ref="A7:B7"/>
    <mergeCell ref="A10:B10"/>
    <mergeCell ref="A13:B13"/>
    <mergeCell ref="A5:A6"/>
    <mergeCell ref="A8:A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topLeftCell="A10" workbookViewId="0">
      <selection activeCell="D12" sqref="D12"/>
    </sheetView>
  </sheetViews>
  <sheetFormatPr defaultColWidth="9" defaultRowHeight="15"/>
  <cols>
    <col min="1" max="1" width="11.6106194690265" style="1" customWidth="1"/>
    <col min="2" max="2" width="15.9115044247788" style="1" customWidth="1"/>
    <col min="3" max="3" width="11.9557522123894" style="1" customWidth="1"/>
    <col min="4" max="4" width="56.9557522123894" style="1" customWidth="1"/>
    <col min="5" max="5" width="37.5752212389381" style="1" customWidth="1"/>
    <col min="6" max="6" width="29.3893805309735" style="1" customWidth="1"/>
    <col min="7" max="7" width="17.0619469026549" style="1" customWidth="1"/>
    <col min="8" max="8" width="17.9557522123894" style="1" customWidth="1"/>
    <col min="9" max="9" width="12.1592920353982" style="1" customWidth="1"/>
    <col min="10" max="10" width="12.6902654867257" style="1" customWidth="1"/>
    <col min="11" max="11" width="20.5044247787611" style="1" customWidth="1"/>
    <col min="12" max="12" width="15.9115044247788" style="1" customWidth="1"/>
    <col min="13" max="16384" width="9" style="1" customWidth="1"/>
  </cols>
  <sheetData>
    <row r="1" s="1" customFormat="1" ht="38" customHeight="1" spans="1:12">
      <c r="A1" s="3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17" customFormat="1" ht="37" customHeight="1" spans="1:12">
      <c r="A2" s="20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2"/>
    </row>
    <row r="3" s="18" customFormat="1" ht="61" customHeight="1" spans="1:12">
      <c r="A3" s="23" t="s">
        <v>17</v>
      </c>
      <c r="B3" s="23" t="s">
        <v>18</v>
      </c>
      <c r="C3" s="23" t="s">
        <v>19</v>
      </c>
      <c r="D3" s="23" t="s">
        <v>20</v>
      </c>
      <c r="E3" s="23" t="s">
        <v>21</v>
      </c>
      <c r="F3" s="23" t="s">
        <v>22</v>
      </c>
      <c r="G3" s="23" t="s">
        <v>23</v>
      </c>
      <c r="H3" s="23" t="s">
        <v>24</v>
      </c>
      <c r="I3" s="23" t="s">
        <v>25</v>
      </c>
      <c r="J3" s="23" t="s">
        <v>26</v>
      </c>
      <c r="K3" s="23" t="s">
        <v>24</v>
      </c>
      <c r="L3" s="23" t="s">
        <v>27</v>
      </c>
    </row>
    <row r="4" s="1" customFormat="1" ht="83" customHeight="1" spans="1:12">
      <c r="A4" s="24" t="s">
        <v>28</v>
      </c>
      <c r="B4" s="25" t="s">
        <v>29</v>
      </c>
      <c r="C4" s="26">
        <v>0.5</v>
      </c>
      <c r="D4" s="27" t="s">
        <v>30</v>
      </c>
      <c r="E4" s="27" t="s">
        <v>31</v>
      </c>
      <c r="F4" s="28" t="s">
        <v>32</v>
      </c>
      <c r="G4" s="25"/>
      <c r="H4" s="25"/>
      <c r="I4" s="25">
        <v>0</v>
      </c>
      <c r="J4" s="25">
        <v>0</v>
      </c>
      <c r="K4" s="25"/>
      <c r="L4" s="29"/>
    </row>
    <row r="5" s="1" customFormat="1" ht="52" customHeight="1" spans="1:12">
      <c r="A5" s="24"/>
      <c r="B5" s="25"/>
      <c r="C5" s="26"/>
      <c r="D5" s="27" t="s">
        <v>33</v>
      </c>
      <c r="E5" s="27" t="s">
        <v>34</v>
      </c>
      <c r="F5" s="30"/>
      <c r="G5" s="25"/>
      <c r="H5" s="25"/>
      <c r="I5" s="25"/>
      <c r="J5" s="25"/>
      <c r="K5" s="25"/>
      <c r="L5" s="29"/>
    </row>
    <row r="6" s="1" customFormat="1" ht="49" customHeight="1" spans="1:12">
      <c r="A6" s="31" t="s">
        <v>35</v>
      </c>
      <c r="B6" s="32" t="s">
        <v>36</v>
      </c>
      <c r="C6" s="26">
        <v>0.2</v>
      </c>
      <c r="D6" s="27" t="s">
        <v>37</v>
      </c>
      <c r="E6" s="27" t="s">
        <v>38</v>
      </c>
      <c r="F6" s="28" t="s">
        <v>39</v>
      </c>
      <c r="G6" s="25"/>
      <c r="H6" s="25"/>
      <c r="I6" s="28">
        <v>0</v>
      </c>
      <c r="J6" s="28">
        <v>0</v>
      </c>
      <c r="K6" s="25"/>
      <c r="L6" s="29"/>
    </row>
    <row r="7" s="1" customFormat="1" ht="52" customHeight="1" spans="1:12">
      <c r="A7" s="33"/>
      <c r="B7" s="34"/>
      <c r="C7" s="26"/>
      <c r="D7" s="27" t="s">
        <v>40</v>
      </c>
      <c r="E7" s="27" t="s">
        <v>41</v>
      </c>
      <c r="F7" s="35"/>
      <c r="G7" s="25"/>
      <c r="H7" s="25"/>
      <c r="I7" s="35"/>
      <c r="J7" s="35"/>
      <c r="K7" s="25"/>
      <c r="L7" s="29"/>
    </row>
    <row r="8" s="1" customFormat="1" ht="47" customHeight="1" spans="1:12">
      <c r="A8" s="36"/>
      <c r="B8" s="37"/>
      <c r="C8" s="26"/>
      <c r="D8" s="27" t="s">
        <v>42</v>
      </c>
      <c r="E8" s="27" t="s">
        <v>43</v>
      </c>
      <c r="F8" s="30"/>
      <c r="G8" s="25"/>
      <c r="H8" s="25"/>
      <c r="I8" s="30"/>
      <c r="J8" s="30"/>
      <c r="K8" s="25"/>
      <c r="L8" s="29"/>
    </row>
    <row r="9" s="1" customFormat="1" ht="78" customHeight="1" spans="1:12">
      <c r="A9" s="24" t="s">
        <v>44</v>
      </c>
      <c r="B9" s="25" t="s">
        <v>45</v>
      </c>
      <c r="C9" s="26">
        <v>0.1</v>
      </c>
      <c r="D9" s="27" t="s">
        <v>46</v>
      </c>
      <c r="E9" s="27" t="s">
        <v>47</v>
      </c>
      <c r="F9" s="25" t="s">
        <v>48</v>
      </c>
      <c r="G9" s="25"/>
      <c r="H9" s="25"/>
      <c r="I9" s="25">
        <v>0</v>
      </c>
      <c r="J9" s="25">
        <v>0</v>
      </c>
      <c r="K9" s="25"/>
      <c r="L9" s="29"/>
    </row>
    <row r="10" s="1" customFormat="1" ht="44" customHeight="1" spans="1:12">
      <c r="A10" s="24" t="s">
        <v>49</v>
      </c>
      <c r="B10" s="25" t="s">
        <v>50</v>
      </c>
      <c r="C10" s="26">
        <v>0.1</v>
      </c>
      <c r="D10" s="27" t="s">
        <v>51</v>
      </c>
      <c r="E10" s="27" t="s">
        <v>52</v>
      </c>
      <c r="F10" s="25" t="s">
        <v>53</v>
      </c>
      <c r="G10" s="25"/>
      <c r="H10" s="25"/>
      <c r="I10" s="25">
        <v>0</v>
      </c>
      <c r="J10" s="25">
        <v>0</v>
      </c>
      <c r="K10" s="25"/>
      <c r="L10" s="38"/>
    </row>
    <row r="11" s="1" customFormat="1" ht="68" customHeight="1" spans="1:12">
      <c r="A11" s="24" t="s">
        <v>54</v>
      </c>
      <c r="B11" s="25" t="s">
        <v>55</v>
      </c>
      <c r="C11" s="26">
        <v>0.1</v>
      </c>
      <c r="D11" s="27" t="s">
        <v>56</v>
      </c>
      <c r="E11" s="27" t="s">
        <v>57</v>
      </c>
      <c r="F11" s="25" t="s">
        <v>58</v>
      </c>
      <c r="G11" s="25"/>
      <c r="H11" s="25"/>
      <c r="I11" s="25">
        <v>0</v>
      </c>
      <c r="J11" s="25">
        <v>0</v>
      </c>
      <c r="K11" s="25"/>
      <c r="L11" s="38"/>
    </row>
    <row r="12" s="1" customFormat="1" ht="169" customHeight="1" spans="1:12">
      <c r="A12" s="24" t="s">
        <v>59</v>
      </c>
      <c r="B12" s="24"/>
      <c r="C12" s="26" t="s">
        <v>60</v>
      </c>
      <c r="D12" s="39" t="s">
        <v>61</v>
      </c>
      <c r="E12" s="27" t="s">
        <v>62</v>
      </c>
      <c r="F12" s="25" t="s">
        <v>63</v>
      </c>
      <c r="G12" s="40"/>
      <c r="H12" s="40"/>
      <c r="I12" s="41">
        <v>0</v>
      </c>
      <c r="J12" s="41" t="s">
        <v>60</v>
      </c>
      <c r="K12" s="41"/>
      <c r="L12" s="38"/>
    </row>
    <row r="13" s="19" customFormat="1" ht="79" customHeight="1" spans="1:12">
      <c r="A13" s="42" t="s">
        <v>64</v>
      </c>
      <c r="B13" s="42"/>
      <c r="C13" s="26" t="s">
        <v>60</v>
      </c>
      <c r="D13" s="39" t="s">
        <v>65</v>
      </c>
      <c r="E13" s="27" t="s">
        <v>66</v>
      </c>
      <c r="F13" s="41" t="s">
        <v>67</v>
      </c>
      <c r="G13" s="41"/>
      <c r="H13" s="41"/>
      <c r="I13" s="41" t="s">
        <v>60</v>
      </c>
      <c r="J13" s="41" t="s">
        <v>60</v>
      </c>
      <c r="K13" s="41"/>
      <c r="L13" s="43"/>
    </row>
    <row r="14" s="19" customFormat="1" ht="49" customHeight="1" spans="1:12">
      <c r="A14" s="44" t="s">
        <v>68</v>
      </c>
      <c r="B14" s="45">
        <f>IF(I13=0,0,(I4+I9+I6+I10+I11)*0.8+(J4+J9+J6+J10+J11)*0.2+I12)</f>
        <v>0</v>
      </c>
      <c r="C14" s="25"/>
      <c r="D14" s="43"/>
      <c r="E14" s="43"/>
      <c r="F14" s="43"/>
      <c r="G14" s="43"/>
      <c r="H14" s="43"/>
      <c r="I14" s="43"/>
      <c r="J14" s="43"/>
      <c r="K14" s="43"/>
      <c r="L14" s="43"/>
    </row>
    <row r="15" s="19" customFormat="1" ht="61" customHeight="1" spans="1:12">
      <c r="A15" s="46" t="s">
        <v>69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</row>
    <row r="16" s="19" customFormat="1" ht="50" customHeight="1" spans="1:12">
      <c r="A16" s="46" t="s">
        <v>70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</row>
    <row r="17" s="1" customFormat="1" ht="15.75" customHeight="1" spans="8:8">
      <c r="H17" s="47"/>
    </row>
    <row r="18" s="1" customFormat="1" ht="15.75" customHeight="1" spans="8:8">
      <c r="H18" s="47"/>
    </row>
    <row r="19" s="1" customFormat="1" ht="15.75" customHeight="1" spans="8:8">
      <c r="H19" s="47"/>
    </row>
  </sheetData>
  <mergeCells count="23">
    <mergeCell ref="A1:L1"/>
    <mergeCell ref="A2:L2"/>
    <mergeCell ref="A12:B12"/>
    <mergeCell ref="A13:B13"/>
    <mergeCell ref="C14:L14"/>
    <mergeCell ref="A15:L15"/>
    <mergeCell ref="A16:L16"/>
    <mergeCell ref="A4:A5"/>
    <mergeCell ref="A6:A8"/>
    <mergeCell ref="B4:B5"/>
    <mergeCell ref="B6:B8"/>
    <mergeCell ref="C4:C5"/>
    <mergeCell ref="C6:C8"/>
    <mergeCell ref="F4:F5"/>
    <mergeCell ref="F6:F8"/>
    <mergeCell ref="G4:G5"/>
    <mergeCell ref="H4:H5"/>
    <mergeCell ref="I4:I5"/>
    <mergeCell ref="I6:I8"/>
    <mergeCell ref="J4:J5"/>
    <mergeCell ref="J6:J8"/>
    <mergeCell ref="K4:K5"/>
    <mergeCell ref="L4:L5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showGridLines="0" workbookViewId="0">
      <selection activeCell="B3" sqref="B3:C3"/>
    </sheetView>
  </sheetViews>
  <sheetFormatPr defaultColWidth="9.02654867256637" defaultRowHeight="15"/>
  <cols>
    <col min="1" max="1" width="16.070796460177" style="2" customWidth="1"/>
    <col min="2" max="2" width="16.2035398230088" style="2" customWidth="1"/>
    <col min="3" max="3" width="21.2477876106195" style="2" customWidth="1"/>
    <col min="4" max="16384" width="9.02654867256637" style="1"/>
  </cols>
  <sheetData>
    <row r="1" s="1" customFormat="1" ht="38" customHeight="1" spans="1:12">
      <c r="A1" s="3" t="s">
        <v>15</v>
      </c>
      <c r="B1" s="4"/>
      <c r="C1" s="4"/>
      <c r="D1" s="5"/>
      <c r="E1" s="5"/>
      <c r="F1" s="5"/>
      <c r="G1" s="5"/>
      <c r="H1" s="5"/>
      <c r="I1" s="5"/>
      <c r="J1" s="5"/>
      <c r="K1" s="5"/>
      <c r="L1" s="5"/>
    </row>
    <row r="2" s="1" customFormat="1" ht="30" customHeight="1" spans="1:12">
      <c r="A2" s="6" t="s">
        <v>71</v>
      </c>
      <c r="B2" s="7"/>
      <c r="C2" s="8"/>
    </row>
    <row r="3" s="1" customFormat="1" ht="30" customHeight="1" spans="1:12">
      <c r="A3" s="9" t="s">
        <v>68</v>
      </c>
      <c r="B3" s="10">
        <f>试用期考核表!B14</f>
        <v>0</v>
      </c>
      <c r="C3" s="11"/>
    </row>
    <row r="4" s="1" customFormat="1" ht="40" customHeight="1" spans="1:12">
      <c r="A4" s="12" t="s">
        <v>72</v>
      </c>
      <c r="B4" s="13" t="s">
        <v>73</v>
      </c>
      <c r="C4" s="13" t="s">
        <v>74</v>
      </c>
    </row>
    <row r="5" s="1" customFormat="1" ht="28" customHeight="1" spans="1:12">
      <c r="A5" s="14" t="s">
        <v>75</v>
      </c>
      <c r="B5" s="15" t="s">
        <v>76</v>
      </c>
      <c r="C5" s="15" t="s">
        <v>77</v>
      </c>
    </row>
    <row r="6" s="1" customFormat="1" ht="27" customHeight="1" spans="1:12">
      <c r="A6" s="14" t="s">
        <v>78</v>
      </c>
      <c r="B6" s="15" t="s">
        <v>79</v>
      </c>
      <c r="C6" s="15" t="s">
        <v>77</v>
      </c>
    </row>
    <row r="7" s="1" customFormat="1" ht="31" customHeight="1" spans="1:12">
      <c r="A7" s="14" t="s">
        <v>80</v>
      </c>
      <c r="B7" s="15" t="s">
        <v>81</v>
      </c>
      <c r="C7" s="15" t="s">
        <v>82</v>
      </c>
    </row>
    <row r="8" s="1" customFormat="1" ht="29" customHeight="1" spans="1:12">
      <c r="A8" s="14" t="s">
        <v>83</v>
      </c>
      <c r="B8" s="15" t="s">
        <v>84</v>
      </c>
      <c r="C8" s="15" t="s">
        <v>85</v>
      </c>
    </row>
    <row r="9" s="1" customFormat="1" ht="38" customHeight="1" spans="1:12">
      <c r="A9" s="14" t="s">
        <v>86</v>
      </c>
      <c r="B9" s="15" t="s">
        <v>87</v>
      </c>
      <c r="C9" s="15" t="s">
        <v>88</v>
      </c>
      <c r="E9" s="16"/>
    </row>
  </sheetData>
  <mergeCells count="3">
    <mergeCell ref="A1:C1"/>
    <mergeCell ref="A2:C2"/>
    <mergeCell ref="B3:C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录用条件说明</vt:lpstr>
      <vt:lpstr>试用期考核表</vt:lpstr>
      <vt:lpstr>考核结果运用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</dc:creator>
  <cp:lastModifiedBy>史颖琳Helen</cp:lastModifiedBy>
  <dcterms:created xsi:type="dcterms:W3CDTF">2026-02-10T08:49:00Z</dcterms:created>
  <dcterms:modified xsi:type="dcterms:W3CDTF">2026-05-16T17:41:12Z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14432EBFBDBD41BBBB6C22FBD7F9E6DD_13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