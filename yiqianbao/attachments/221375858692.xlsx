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381"/>
  </bookViews>
  <sheets>
    <sheet name="方案" sheetId="1" r:id="rId1"/>
    <sheet name="拓扑图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<sst xmlns="http://schemas.openxmlformats.org/spreadsheetml/2006/main" count="78" uniqueCount="52">
  <si>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 xml:space="preserve">    </t>
  </si>
  <si>
    <t>宁家4层</t>
  </si>
  <si>
    <t>方案亮点
1) 多WAN线路:睿易网关支持双WAN或多WAN口，满足多条宽带接入的需求。
2) 多种认证接入:支持WEB用户名密码认证、微信关注认证、短信认证,访客扫码连WiFi等。
3) 多网融合与隔离:多个业务网络可以接入到一台设备管理，同时隔离不同业务网络流量，提高安全性和交换机带宽利用率。
4) 终端限速:合理分配终端速率，保障重要业务带宽资源。
5) 访问控制:支持基于200-2500种应用的上网限制和控制，所有上网应用都在掌心之中。
6) 产品特色:桌面型10口全千兆PoE路由器RG-EG210G-P-E V2，固化10个千兆电口（含8个PoE口），推荐带终端数200台，推荐带宽1500Mbps，整机PoE最大输出功率110W，单端口最大输出功率30W，内置AC功能，支持Easy VPN、IPSec VPN、OPEN VPN，支持PPPoE Server、扫码认证、授权认证，支持儿童上网行为管理、应用流控、应用阻断，支持睿易MACC云平台与睿易APP管理</t>
  </si>
  <si>
    <t>序号</t>
  </si>
  <si>
    <t>品牌</t>
  </si>
  <si>
    <t>产品类型</t>
  </si>
  <si>
    <t>产品型号</t>
  </si>
  <si>
    <t>产品图</t>
  </si>
  <si>
    <t xml:space="preserve">产品说明 </t>
  </si>
  <si>
    <t>数量</t>
  </si>
  <si>
    <t>单位</t>
  </si>
  <si>
    <t>单价(¥)</t>
  </si>
  <si>
    <t>合价(¥)</t>
  </si>
  <si>
    <t>备注</t>
  </si>
  <si>
    <t>1</t>
  </si>
  <si>
    <t>睿易</t>
  </si>
  <si>
    <t>网关</t>
  </si>
  <si>
    <t>RG-EG210G-P-E V2</t>
  </si>
  <si>
    <t/>
  </si>
  <si>
    <t>桌面型10口全千兆PoE路由器RG-EG210G-P-E V2，固化10个千兆电口（含8个PoE口），推荐带终端数200台，推荐带宽1500Mbps，整机PoE最大输出功率110W，单端口最大输出功率30W，内置AC功能，支持Easy VPN、IPSec VPN、OPEN VPN，支持PPPoE Server、扫码认证、授权认证，支持儿童上网行为管理、应用流控、应用阻断，支持睿易MACC云平台与睿易APP管理</t>
  </si>
  <si>
    <t>台</t>
  </si>
  <si>
    <t>2</t>
  </si>
  <si>
    <t>锐捷</t>
  </si>
  <si>
    <t>接入交换</t>
  </si>
  <si>
    <t>RG-ES209GC-P-E</t>
  </si>
  <si>
    <t>二层弱网管交换机，交换容量 140Gbps，包转发率 13.5Mpps，8 口 10/100/1000Mbps 自适应电口交换机（支持 PoE/PoE+，PoE 功率 120W），固化 1 个千兆电口上联，交换机支持 VLAN、端口聚合、端口镜像等功能，支持睿易 APP 和 MACC 云平台统一管理。</t>
  </si>
  <si>
    <t>3</t>
  </si>
  <si>
    <t>吸顶AP</t>
  </si>
  <si>
    <t>RG-EAP262(E)</t>
  </si>
  <si>
    <t>2976M双频千兆吸顶AP，1个千兆LAN口上联，内置天线，支持2.4GHz/5GHz双频通信，支持802.11a/b/g/n/ac Wave1/Wave2/ax协议。支持AP与路由两种工作模式，支持二层智能漫游，支持睿易一体化组网，支持“睿易”APP管理。支持802.3at PoE供电和本地供电（PoE+供电设备和DC适配器需单独采购）</t>
  </si>
  <si>
    <t>4</t>
  </si>
  <si>
    <t>线槽</t>
  </si>
  <si>
    <t>PVC</t>
  </si>
  <si>
    <t>安能</t>
  </si>
  <si>
    <t>PVC材质线槽</t>
  </si>
  <si>
    <t>米</t>
  </si>
  <si>
    <t>网线</t>
  </si>
  <si>
    <t>网线6类</t>
  </si>
  <si>
    <t>箱</t>
  </si>
  <si>
    <t>机柜</t>
  </si>
  <si>
    <t>个</t>
  </si>
  <si>
    <t>人工</t>
  </si>
  <si>
    <t>人工辅材</t>
  </si>
  <si>
    <t>人</t>
  </si>
  <si>
    <t>外网</t>
  </si>
  <si>
    <t>外网接入</t>
  </si>
  <si>
    <t>合计</t>
  </si>
  <si>
    <t>总价</t>
  </si>
  <si>
    <t>拓扑图（注：拓扑图仅供参考，真实情况以项目实施为准）</t>
  </si>
  <si>
    <t>查看高清拓扑（复制后到浏览器打开)：</t>
  </si>
  <si>
    <t>https://noc.ruijie.com.cn/design/#/topo?key=MjkzMzI2N18yOTMzMjY3MjYwNTE0MDIyNzA4</t>
  </si>
  <si>
    <t>本报告中提供的高清拓扑链接为临时链接，其有效期为14天（截至2026-05-28 00:00），过期则失效。如需重新生成链接，请重新导出方案报告。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</si>
</sst>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35">
    <font>
      <sz val="12"/>
      <color rgb="FF000000"/>
      <name val="等线"/>
      <charset val="134"/>
    </font>
    <font>
      <sz val="10"/>
      <color rgb="FF000000"/>
      <name val="微软雅黑"/>
      <charset val="134"/>
    </font>
    <font>
      <sz val="10"/>
      <color rgb="FF808080"/>
      <name val="微软雅黑"/>
      <charset val="134"/>
    </font>
    <font>
      <sz val="16"/>
      <color rgb="FF000000"/>
      <name val="微软雅黑"/>
      <charset val="134"/>
    </font>
    <font>
      <sz val="10"/>
      <color rgb="FFFFFFFF"/>
      <name val="微软雅黑"/>
      <charset val="134"/>
    </font>
    <font>
      <sz val="10"/>
      <color theme="1"/>
      <name val="微软雅黑"/>
      <charset val="134"/>
    </font>
    <font>
      <u/>
      <sz val="10"/>
      <color rgb="FF0000FF"/>
      <name val="微软雅黑"/>
      <charset val="134"/>
    </font>
    <font>
      <i/>
      <sz val="8"/>
      <color theme="1" tint="0.499984740745262"/>
      <name val="微软雅黑"/>
      <charset val="134"/>
    </font>
    <font>
      <sz val="11"/>
      <color rgb="FF000000"/>
      <name val="微软雅黑"/>
      <charset val="134"/>
    </font>
    <font>
      <sz val="8"/>
      <color rgb="FF808080"/>
      <name val="微软雅黑"/>
      <charset val="134"/>
    </font>
    <font>
      <sz val="9"/>
      <color rgb="FF000000"/>
      <name val="微软雅黑"/>
      <charset val="134"/>
    </font>
    <font>
      <sz val="9"/>
      <color rgb="FFFFFFFF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8FEFD"/>
        <bgColor rgb="FFF5F5F5"/>
      </patternFill>
    </fill>
    <fill>
      <patternFill patternType="solid">
        <fgColor rgb="FF27BE8F"/>
        <bgColor rgb="FF0066CC"/>
      </patternFill>
    </fill>
    <fill>
      <patternFill patternType="solid">
        <fgColor theme="0"/>
        <bgColor rgb="FFF6FBFF"/>
      </patternFill>
    </fill>
    <fill>
      <patternFill patternType="solid">
        <fgColor rgb="FF27BE8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2" tint="-0.249977111117893"/>
      </right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rgb="FFBFBFBF"/>
      </left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rgb="FFA5A5A5"/>
      </left>
      <right/>
      <top/>
      <bottom style="thin">
        <color rgb="FFBFBFBF"/>
      </bottom>
      <diagonal/>
    </border>
    <border>
      <left style="thin">
        <color rgb="FFA6A6A6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A6A6A6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A5A5A5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5A5A5"/>
      </left>
      <right/>
      <top style="thin">
        <color theme="0" tint="-0.249977111117893"/>
      </top>
      <bottom style="thin">
        <color rgb="FFA5A5A5"/>
      </bottom>
      <diagonal/>
    </border>
    <border>
      <left/>
      <right/>
      <top style="thin">
        <color theme="0" tint="-0.249977111117893"/>
      </top>
      <bottom style="thin">
        <color rgb="FFA5A5A5"/>
      </bottom>
      <diagonal/>
    </border>
    <border>
      <left/>
      <right style="thin">
        <color rgb="FFA5A5A5"/>
      </right>
      <top style="thin">
        <color theme="0" tint="-0.249977111117893"/>
      </top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3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35" applyNumberFormat="0" applyAlignment="0" applyProtection="0">
      <alignment vertical="center"/>
    </xf>
    <xf numFmtId="0" fontId="25" fillId="8" borderId="36" applyNumberFormat="0" applyAlignment="0" applyProtection="0">
      <alignment vertical="center"/>
    </xf>
    <xf numFmtId="0" fontId="26" fillId="8" borderId="35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6" fillId="4" borderId="10" xfId="6" applyFont="1" applyFill="1" applyBorder="1" applyAlignment="1">
      <alignment horizontal="left" vertical="center"/>
    </xf>
    <xf numFmtId="0" fontId="6" fillId="4" borderId="0" xfId="6" applyFont="1" applyFill="1" applyBorder="1" applyAlignment="1">
      <alignment horizontal="left" vertical="center"/>
    </xf>
    <xf numFmtId="0" fontId="6" fillId="4" borderId="11" xfId="6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0" fillId="0" borderId="8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176" fontId="10" fillId="0" borderId="23" xfId="0" applyNumberFormat="1" applyFont="1" applyBorder="1" applyAlignment="1">
      <alignment horizontal="right" vertical="center" wrapText="1"/>
    </xf>
    <xf numFmtId="176" fontId="10" fillId="0" borderId="20" xfId="0" applyNumberFormat="1" applyFont="1" applyBorder="1" applyAlignment="1">
      <alignment horizontal="right" vertical="center" wrapText="1"/>
    </xf>
    <xf numFmtId="0" fontId="10" fillId="0" borderId="20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3" fillId="0" borderId="24" xfId="0" applyFont="1" applyFill="1" applyBorder="1" applyAlignment="1">
      <alignment horizontal="right" vertical="center" wrapText="1"/>
    </xf>
    <xf numFmtId="177" fontId="13" fillId="0" borderId="25" xfId="0" applyNumberFormat="1" applyFont="1" applyFill="1" applyBorder="1" applyAlignment="1">
      <alignment horizontal="center" vertical="center" wrapText="1"/>
    </xf>
    <xf numFmtId="177" fontId="13" fillId="0" borderId="26" xfId="0" applyNumberFormat="1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vertical="center" wrapText="1"/>
    </xf>
    <xf numFmtId="0" fontId="14" fillId="5" borderId="28" xfId="0" applyFont="1" applyFill="1" applyBorder="1" applyAlignment="1">
      <alignment horizontal="right" vertical="center" wrapText="1"/>
    </xf>
    <xf numFmtId="0" fontId="14" fillId="5" borderId="29" xfId="0" applyFont="1" applyFill="1" applyBorder="1" applyAlignment="1">
      <alignment horizontal="right" vertical="center" wrapText="1"/>
    </xf>
    <xf numFmtId="0" fontId="14" fillId="5" borderId="30" xfId="0" applyFont="1" applyFill="1" applyBorder="1" applyAlignment="1">
      <alignment horizontal="right" vertical="center" wrapText="1"/>
    </xf>
    <xf numFmtId="177" fontId="14" fillId="5" borderId="31" xfId="0" applyNumberFormat="1" applyFont="1" applyFill="1" applyBorder="1" applyAlignment="1">
      <alignment horizontal="center" vertical="center" wrapText="1"/>
    </xf>
    <xf numFmtId="0" fontId="13" fillId="5" borderId="27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A6A6A6"/>
      <rgbColor rgb="00993366"/>
      <rgbColor rgb="00F5F5F5"/>
      <rgbColor rgb="00F6FB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B6AFD"/>
      <rgbColor rgb="0033CCCC"/>
      <rgbColor rgb="0099CC00"/>
      <rgbColor rgb="00FFCC00"/>
      <rgbColor rgb="00FF9900"/>
      <rgbColor rgb="00ED7D31"/>
      <rgbColor rgb="00666699"/>
      <rgbColor rgb="00A5A5A5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27BE8F"/>
      <color rgb="00F8FE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19050</xdr:colOff>
      <xdr:row>1</xdr:row>
      <xdr:rowOff>285750</xdr:rowOff>
    </xdr:from>
    <xdr:to>
      <xdr:col>10</xdr:col>
      <xdr:colOff>217823</xdr:colOff>
      <xdr:row>1</xdr:row>
      <xdr:rowOff>571500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87110" y="483870"/>
          <a:ext cx="2054225" cy="285750"/>
        </a:xfrm>
        <a:prstGeom prst="rect">
          <a:avLst/>
        </a:prstGeom>
      </xdr:spPr>
    </xdr:pic>
    <xdr:clientData/>
  </xdr:twoCellAnchor>
  <xdr:twoCellAnchor editAs="absolute">
    <xdr:from>
      <xdr:col>8</xdr:col>
      <xdr:colOff>19050</xdr:colOff>
      <xdr:row>2</xdr:row>
      <xdr:rowOff>293324</xdr:rowOff>
    </xdr:from>
    <xdr:to>
      <xdr:col>10</xdr:col>
      <xdr:colOff>418363</xdr:colOff>
      <xdr:row>2</xdr:row>
      <xdr:rowOff>1230675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54140" y="1348105"/>
          <a:ext cx="1887220" cy="93789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646625</xdr:rowOff>
    </xdr:from>
    <xdr:to>
      <xdr:col>4</xdr:col>
      <xdr:colOff>658575</xdr:colOff>
      <xdr:row>4</xdr:row>
      <xdr:rowOff>1017074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42210" y="3606800"/>
          <a:ext cx="658495" cy="37020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595619</xdr:rowOff>
    </xdr:from>
    <xdr:to>
      <xdr:col>4</xdr:col>
      <xdr:colOff>658575</xdr:colOff>
      <xdr:row>5</xdr:row>
      <xdr:rowOff>864880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42210" y="5219065"/>
          <a:ext cx="658495" cy="26987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</xdr:row>
      <xdr:rowOff>399315</xdr:rowOff>
    </xdr:from>
    <xdr:to>
      <xdr:col>4</xdr:col>
      <xdr:colOff>658575</xdr:colOff>
      <xdr:row>6</xdr:row>
      <xdr:rowOff>1061184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42210" y="6483350"/>
          <a:ext cx="658495" cy="66230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533324</xdr:rowOff>
    </xdr:from>
    <xdr:to>
      <xdr:col>4</xdr:col>
      <xdr:colOff>658575</xdr:colOff>
      <xdr:row>7</xdr:row>
      <xdr:rowOff>800175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42210" y="8077835"/>
          <a:ext cx="658495" cy="51435"/>
        </a:xfrm>
        <a:prstGeom prst="rect">
          <a:avLst/>
        </a:prstGeom>
      </xdr:spPr>
    </xdr:pic>
    <xdr:clientData/>
  </xdr:twoCellAnchor>
  <xdr:twoCellAnchor editAs="oneCell">
    <xdr:from>
      <xdr:col>4</xdr:col>
      <xdr:colOff>56515</xdr:colOff>
      <xdr:row>7</xdr:row>
      <xdr:rowOff>69215</xdr:rowOff>
    </xdr:from>
    <xdr:to>
      <xdr:col>4</xdr:col>
      <xdr:colOff>659130</xdr:colOff>
      <xdr:row>7</xdr:row>
      <xdr:rowOff>571500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98725" y="7614285"/>
          <a:ext cx="602615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6</xdr:row>
      <xdr:rowOff>370067</xdr:rowOff>
    </xdr:from>
    <xdr:to>
      <xdr:col>4</xdr:col>
      <xdr:colOff>658575</xdr:colOff>
      <xdr:row>6</xdr:row>
      <xdr:rowOff>1026932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42210" y="6454140"/>
          <a:ext cx="658495" cy="65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0</xdr:colOff>
      <xdr:row>6</xdr:row>
      <xdr:rowOff>0</xdr:rowOff>
    </xdr:from>
    <xdr:to>
      <xdr:col>9</xdr:col>
      <xdr:colOff>569376</xdr:colOff>
      <xdr:row>29</xdr:row>
      <xdr:rowOff>120842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2103120"/>
          <a:ext cx="7371080" cy="4521200"/>
        </a:xfrm>
        <a:prstGeom prst="rect">
          <a:avLst/>
        </a:prstGeom>
      </xdr:spPr>
    </xdr:pic>
    <xdr:clientData/>
  </xdr:twoCellAnchor>
  <xdr:twoCellAnchor editAs="absolute">
    <xdr:from>
      <xdr:col>7</xdr:col>
      <xdr:colOff>0</xdr:colOff>
      <xdr:row>1</xdr:row>
      <xdr:rowOff>285750</xdr:rowOff>
    </xdr:from>
    <xdr:to>
      <xdr:col>10</xdr:col>
      <xdr:colOff>198773</xdr:colOff>
      <xdr:row>1</xdr:row>
      <xdr:rowOff>571500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89015" y="476250"/>
          <a:ext cx="2054225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showGridLines="0" tabSelected="1" topLeftCell="A5" workbookViewId="0">
      <selection activeCell="M10" sqref="M10"/>
    </sheetView>
  </sheetViews>
  <sheetFormatPr defaultColWidth="11" defaultRowHeight="15"/>
  <cols>
    <col min="1" max="1" width="3.75" style="3" customWidth="1"/>
    <col min="2" max="2" width="5.87878787878788" style="3" customWidth="1"/>
    <col min="3" max="3" width="8.62878787878788" style="3" customWidth="1"/>
    <col min="4" max="4" width="10.8787878787879" style="3" customWidth="1"/>
    <col min="5" max="5" width="9.87878787878788" style="3" customWidth="1"/>
    <col min="6" max="6" width="28.6287878787879" style="3" customWidth="1"/>
    <col min="7" max="7" width="4.75" style="3" customWidth="1"/>
    <col min="8" max="8" width="4.37878787878788" style="3" customWidth="1"/>
    <col min="9" max="9" width="7.87878787878788" style="3" customWidth="1"/>
    <col min="10" max="10" width="9.87878787878788" style="3" customWidth="1"/>
    <col min="11" max="11" width="8.62878787878788" style="3" customWidth="1"/>
    <col min="12" max="12" width="5.75" style="3" customWidth="1"/>
    <col min="13" max="16384" width="11" style="3"/>
  </cols>
  <sheetData>
    <row r="1" ht="15.6" spans="1:1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  <c r="L1" s="36"/>
      <c r="M1"/>
      <c r="N1"/>
      <c r="O1"/>
    </row>
    <row r="2" s="31" customFormat="1" ht="67.5" customHeight="1" spans="1:15">
      <c r="A2" s="37"/>
      <c r="B2" s="38"/>
      <c r="C2" s="38"/>
      <c r="D2" s="38" t="s">
        <v>1</v>
      </c>
      <c r="E2" s="38"/>
      <c r="F2" s="38"/>
      <c r="G2" s="38"/>
      <c r="H2" s="38"/>
      <c r="I2" s="39"/>
      <c r="J2" s="39"/>
      <c r="K2" s="40"/>
      <c r="L2" s="41"/>
      <c r="M2"/>
      <c r="N2"/>
      <c r="O2"/>
    </row>
    <row r="3" ht="120" customHeight="1" spans="1:15">
      <c r="A3" s="42" t="s">
        <v>2</v>
      </c>
      <c r="B3" s="42"/>
      <c r="C3" s="42"/>
      <c r="D3" s="42"/>
      <c r="E3" s="42"/>
      <c r="F3" s="42"/>
      <c r="G3" s="42"/>
      <c r="H3" s="42"/>
      <c r="I3" s="43"/>
      <c r="J3" s="43"/>
      <c r="K3" s="43"/>
      <c r="L3" s="44"/>
      <c r="M3"/>
      <c r="N3"/>
      <c r="O3"/>
    </row>
    <row r="4" s="32" customFormat="1" ht="30" customHeight="1" spans="1:15">
      <c r="A4" s="45" t="s">
        <v>3</v>
      </c>
      <c r="B4" s="46" t="s">
        <v>4</v>
      </c>
      <c r="C4" s="46" t="s">
        <v>5</v>
      </c>
      <c r="D4" s="47" t="s">
        <v>6</v>
      </c>
      <c r="E4" s="47" t="s">
        <v>7</v>
      </c>
      <c r="F4" s="47" t="s">
        <v>8</v>
      </c>
      <c r="G4" s="47" t="s">
        <v>9</v>
      </c>
      <c r="H4" s="47" t="s">
        <v>10</v>
      </c>
      <c r="I4" s="47" t="s">
        <v>11</v>
      </c>
      <c r="J4" s="47" t="s">
        <v>12</v>
      </c>
      <c r="K4" s="48" t="s">
        <v>13</v>
      </c>
      <c r="M4" s="49"/>
      <c r="N4" s="49"/>
      <c r="O4" s="49"/>
    </row>
    <row r="5" ht="131" customHeight="1" spans="1:15">
      <c r="A5" s="50" t="s">
        <v>14</v>
      </c>
      <c r="B5" s="51" t="s">
        <v>15</v>
      </c>
      <c r="C5" s="52" t="s">
        <v>16</v>
      </c>
      <c r="D5" s="52" t="s">
        <v>17</v>
      </c>
      <c r="E5" s="53" t="s">
        <v>18</v>
      </c>
      <c r="F5" s="52" t="s">
        <v>19</v>
      </c>
      <c r="G5" s="54">
        <v>1</v>
      </c>
      <c r="H5" s="55" t="s">
        <v>20</v>
      </c>
      <c r="I5" s="56">
        <v>1500</v>
      </c>
      <c r="J5" s="57">
        <f>G5*I5</f>
        <v>1500</v>
      </c>
      <c r="K5" s="58" t="s">
        <v>18</v>
      </c>
      <c r="L5" s="59"/>
      <c r="M5"/>
      <c r="N5"/>
      <c r="O5"/>
    </row>
    <row r="6" ht="115" customHeight="1" spans="1:15">
      <c r="A6" s="50" t="s">
        <v>21</v>
      </c>
      <c r="B6" s="51" t="s">
        <v>22</v>
      </c>
      <c r="C6" s="52" t="s">
        <v>23</v>
      </c>
      <c r="D6" s="52" t="s">
        <v>24</v>
      </c>
      <c r="E6" s="53" t="s">
        <v>18</v>
      </c>
      <c r="F6" s="52" t="s">
        <v>25</v>
      </c>
      <c r="G6" s="54">
        <v>1</v>
      </c>
      <c r="H6" s="55" t="s">
        <v>20</v>
      </c>
      <c r="I6" s="56">
        <v>900</v>
      </c>
      <c r="J6" s="57">
        <f>G6*I6</f>
        <v>900</v>
      </c>
      <c r="K6" s="58" t="s">
        <v>18</v>
      </c>
    </row>
    <row r="7" ht="115" customHeight="1" spans="1:15">
      <c r="A7" s="50" t="s">
        <v>26</v>
      </c>
      <c r="B7" s="51" t="s">
        <v>15</v>
      </c>
      <c r="C7" s="52" t="s">
        <v>27</v>
      </c>
      <c r="D7" s="52" t="s">
        <v>28</v>
      </c>
      <c r="E7" s="53" t="s">
        <v>18</v>
      </c>
      <c r="F7" s="52" t="s">
        <v>29</v>
      </c>
      <c r="G7" s="54">
        <v>4</v>
      </c>
      <c r="H7" s="55" t="s">
        <v>20</v>
      </c>
      <c r="I7" s="56">
        <v>750</v>
      </c>
      <c r="J7" s="57">
        <f>G7*I7</f>
        <v>3000</v>
      </c>
      <c r="K7" s="58" t="s">
        <v>18</v>
      </c>
    </row>
    <row r="8" ht="46" customHeight="1" spans="1:15">
      <c r="A8" s="50" t="s">
        <v>30</v>
      </c>
      <c r="B8" s="51" t="s">
        <v>31</v>
      </c>
      <c r="C8" s="52" t="s">
        <v>32</v>
      </c>
      <c r="D8" s="52" t="s">
        <v>33</v>
      </c>
      <c r="E8" s="53" t="s">
        <v>18</v>
      </c>
      <c r="F8" s="52" t="s">
        <v>34</v>
      </c>
      <c r="G8" s="54">
        <v>100</v>
      </c>
      <c r="H8" s="55" t="s">
        <v>35</v>
      </c>
      <c r="I8" s="56">
        <v>4</v>
      </c>
      <c r="J8" s="57">
        <f>G8*I8</f>
        <v>400</v>
      </c>
      <c r="K8" s="58" t="s">
        <v>18</v>
      </c>
    </row>
    <row r="9" ht="23" customHeight="1" spans="1:15">
      <c r="A9" s="50">
        <v>5</v>
      </c>
      <c r="B9" s="51" t="s">
        <v>36</v>
      </c>
      <c r="C9" s="52" t="s">
        <v>37</v>
      </c>
      <c r="D9" s="52" t="s">
        <v>37</v>
      </c>
      <c r="E9" s="53" t="s">
        <v>18</v>
      </c>
      <c r="F9" s="52" t="s">
        <v>37</v>
      </c>
      <c r="G9" s="54">
        <v>1</v>
      </c>
      <c r="H9" s="55" t="s">
        <v>38</v>
      </c>
      <c r="I9" s="56">
        <v>700</v>
      </c>
      <c r="J9" s="57">
        <v>700</v>
      </c>
      <c r="K9" s="58" t="s">
        <v>18</v>
      </c>
    </row>
    <row r="10" ht="23" customHeight="1" spans="1:15">
      <c r="A10" s="50">
        <v>6</v>
      </c>
      <c r="B10" s="51" t="s">
        <v>39</v>
      </c>
      <c r="C10" s="51" t="s">
        <v>39</v>
      </c>
      <c r="D10" s="51" t="s">
        <v>39</v>
      </c>
      <c r="E10" s="53"/>
      <c r="F10" s="51" t="s">
        <v>39</v>
      </c>
      <c r="G10" s="54">
        <v>1</v>
      </c>
      <c r="H10" s="55" t="s">
        <v>40</v>
      </c>
      <c r="I10" s="56">
        <v>300</v>
      </c>
      <c r="J10" s="57">
        <v>300</v>
      </c>
      <c r="K10" s="58"/>
    </row>
    <row r="11" ht="25" customHeight="1" spans="1:15">
      <c r="A11" s="50">
        <v>7</v>
      </c>
      <c r="B11" s="51" t="s">
        <v>41</v>
      </c>
      <c r="C11" s="52" t="s">
        <v>41</v>
      </c>
      <c r="D11" s="52" t="s">
        <v>41</v>
      </c>
      <c r="E11" s="53"/>
      <c r="F11" s="52" t="s">
        <v>42</v>
      </c>
      <c r="G11" s="54">
        <v>1</v>
      </c>
      <c r="H11" s="55" t="s">
        <v>43</v>
      </c>
      <c r="I11" s="56">
        <v>1000</v>
      </c>
      <c r="J11" s="57">
        <f>G11*I11</f>
        <v>1000</v>
      </c>
      <c r="K11" s="58" t="s">
        <v>18</v>
      </c>
    </row>
    <row r="12" ht="31" customHeight="1" spans="1:15">
      <c r="A12" s="50">
        <v>8</v>
      </c>
      <c r="B12" s="51" t="s">
        <v>44</v>
      </c>
      <c r="C12" s="52" t="s">
        <v>45</v>
      </c>
      <c r="D12" s="52" t="s">
        <v>45</v>
      </c>
      <c r="E12" s="53" t="s">
        <v>18</v>
      </c>
      <c r="F12" s="52"/>
      <c r="G12" s="54">
        <v>1</v>
      </c>
      <c r="H12" s="55" t="s">
        <v>20</v>
      </c>
      <c r="I12" s="56">
        <v>4000</v>
      </c>
      <c r="J12" s="57">
        <f>G12*I12</f>
        <v>4000</v>
      </c>
      <c r="K12" s="58" t="s">
        <v>18</v>
      </c>
    </row>
    <row r="13" s="2" customFormat="1" ht="19.5" customHeight="1" spans="1:15">
      <c r="A13" s="60" t="s">
        <v>46</v>
      </c>
      <c r="B13" s="60"/>
      <c r="C13" s="60"/>
      <c r="D13" s="60"/>
      <c r="E13" s="60"/>
      <c r="F13" s="60"/>
      <c r="G13" s="60"/>
      <c r="H13" s="60"/>
      <c r="I13" s="61">
        <f ca="1">SUM(J5:INDEX(J:J,ROW()-1))</f>
        <v>11800</v>
      </c>
      <c r="J13" s="62"/>
      <c r="K13" s="63"/>
      <c r="L13" s="59"/>
      <c r="M13"/>
      <c r="N13"/>
      <c r="O13"/>
    </row>
    <row r="14" s="2" customFormat="1" ht="19.5" customHeight="1" spans="1:15">
      <c r="A14" s="64" t="s">
        <v>47</v>
      </c>
      <c r="B14" s="65"/>
      <c r="C14" s="65"/>
      <c r="D14" s="65"/>
      <c r="E14" s="65"/>
      <c r="F14" s="65"/>
      <c r="G14" s="65"/>
      <c r="H14" s="66"/>
      <c r="I14" s="67">
        <v>11800</v>
      </c>
      <c r="J14" s="67"/>
      <c r="K14" s="68"/>
      <c r="M14"/>
      <c r="N14"/>
      <c r="O14"/>
    </row>
  </sheetData>
  <mergeCells count="10">
    <mergeCell ref="A1:K1"/>
    <mergeCell ref="A2:C2"/>
    <mergeCell ref="D2:H2"/>
    <mergeCell ref="I2:K2"/>
    <mergeCell ref="A3:H3"/>
    <mergeCell ref="I3:K3"/>
    <mergeCell ref="A13:H13"/>
    <mergeCell ref="I13:J13"/>
    <mergeCell ref="A14:H14"/>
    <mergeCell ref="I14:J14"/>
  </mergeCells>
  <printOptions horizontalCentered="1"/>
  <pageMargins left="0.196527777777778" right="0.196527777777778" top="0.393055555555556" bottom="0.393055555555556" header="0.511805555555556" footer="0.196527777777778"/>
  <pageSetup paperSize="9" scale="86" fitToHeight="0" orientation="portrait" horizontalDpi="300" verticalDpi="300"/>
  <headerFooter/>
  <ignoredErrors>
    <ignoredError sqref="I13" emptyCellReferenc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2"/>
  <sheetViews>
    <sheetView showGridLines="0" workbookViewId="0">
      <selection activeCell="L1" sqref="L1"/>
    </sheetView>
  </sheetViews>
  <sheetFormatPr defaultColWidth="11" defaultRowHeight="15"/>
  <cols>
    <col min="1" max="1" width="3.75" style="3" customWidth="1" collapsed="1"/>
    <col min="2" max="2" width="5.87878787878788" style="3" customWidth="1" collapsed="1"/>
    <col min="3" max="3" width="8.62878787878788" style="3" customWidth="1" collapsed="1"/>
    <col min="4" max="4" width="10.8787878787879" style="3" customWidth="1" collapsed="1"/>
    <col min="5" max="5" width="9.87878787878788" style="3" customWidth="1" collapsed="1"/>
    <col min="6" max="6" width="28.8787878787879" style="3" customWidth="1" collapsed="1"/>
    <col min="7" max="7" width="4.75" style="3" customWidth="1" collapsed="1"/>
    <col min="8" max="8" width="4.37878787878788" style="3" customWidth="1" collapsed="1"/>
    <col min="9" max="9" width="7.87878787878788" style="3" customWidth="1" collapsed="1"/>
    <col min="10" max="10" width="9.87878787878788" style="3" customWidth="1" collapsed="1"/>
    <col min="11" max="11" width="8.62878787878788" style="3" customWidth="1" collapsed="1"/>
    <col min="12" max="16384" width="11" style="3" collapsed="1"/>
  </cols>
  <sheetData>
    <row r="1" spans="1:6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</row>
    <row r="2" ht="67.5" customHeight="1" spans="1:65">
      <c r="A2" s="8"/>
      <c r="B2" s="9"/>
      <c r="C2" s="9"/>
      <c r="D2" s="10" t="s">
        <v>1</v>
      </c>
      <c r="E2" s="9"/>
      <c r="F2" s="9"/>
      <c r="G2" s="9"/>
      <c r="H2" s="9"/>
      <c r="I2" s="11"/>
      <c r="J2" s="11"/>
      <c r="K2" s="1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ht="30" customHeight="1" spans="1:65">
      <c r="A3" s="13" t="s">
        <v>48</v>
      </c>
      <c r="B3" s="14"/>
      <c r="C3" s="14"/>
      <c r="D3" s="14"/>
      <c r="E3" s="14"/>
      <c r="F3" s="14"/>
      <c r="G3" s="14"/>
      <c r="H3" s="14"/>
      <c r="I3" s="14"/>
      <c r="J3" s="14"/>
      <c r="K3" s="1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="1" customFormat="1" ht="20.1" customHeight="1" spans="1:65">
      <c r="A4" s="16" t="s">
        <v>49</v>
      </c>
      <c r="B4" s="17"/>
      <c r="C4" s="17"/>
      <c r="D4" s="17"/>
      <c r="E4" s="17"/>
      <c r="F4" s="17"/>
      <c r="G4" s="17"/>
      <c r="H4" s="17"/>
      <c r="I4" s="17"/>
      <c r="J4" s="17"/>
      <c r="K4" s="18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ht="16.5" customHeight="1" spans="1:65">
      <c r="A5" s="19" t="s">
        <v>50</v>
      </c>
      <c r="B5" s="20"/>
      <c r="C5" s="20"/>
      <c r="D5" s="20"/>
      <c r="E5" s="20"/>
      <c r="F5" s="20"/>
      <c r="G5" s="20"/>
      <c r="H5" s="20"/>
      <c r="I5" s="20"/>
      <c r="J5" s="20"/>
      <c r="K5" s="2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</row>
    <row r="6" s="2" customFormat="1" ht="16.5" customHeight="1" spans="1:65">
      <c r="A6" s="22" t="s">
        <v>51</v>
      </c>
      <c r="B6" s="23"/>
      <c r="C6" s="23"/>
      <c r="D6" s="23"/>
      <c r="E6" s="23"/>
      <c r="F6" s="23"/>
      <c r="G6" s="23"/>
      <c r="H6" s="23"/>
      <c r="I6" s="23"/>
      <c r="J6" s="23"/>
      <c r="K6" s="2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</row>
    <row r="7" s="2" customFormat="1" ht="16.5" customHeight="1" spans="1:65">
      <c r="A7" s="25"/>
      <c r="B7" s="26"/>
      <c r="C7" s="26"/>
      <c r="D7" s="26"/>
      <c r="E7" s="26"/>
      <c r="F7" s="26"/>
      <c r="G7" s="26"/>
      <c r="H7" s="26"/>
      <c r="I7" s="26"/>
      <c r="J7" s="26"/>
      <c r="K7" s="2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1:65">
      <c r="A8" s="25"/>
      <c r="B8" s="26"/>
      <c r="C8" s="26"/>
      <c r="D8" s="26"/>
      <c r="E8" s="26"/>
      <c r="F8" s="26"/>
      <c r="G8" s="26"/>
      <c r="H8" s="26"/>
      <c r="I8" s="26"/>
      <c r="J8" s="26"/>
      <c r="K8" s="2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>
      <c r="A9" s="25"/>
      <c r="B9" s="26"/>
      <c r="C9" s="26"/>
      <c r="D9" s="26"/>
      <c r="E9" s="26"/>
      <c r="F9" s="26"/>
      <c r="G9" s="26"/>
      <c r="H9" s="26"/>
      <c r="I9" s="26"/>
      <c r="J9" s="26"/>
      <c r="K9" s="2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5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1:65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1:65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1:6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1:6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1:6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1:6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1:6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1:6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1:65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1:65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1:6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1:6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</row>
    <row r="42" spans="1:65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1:65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</row>
    <row r="44" spans="1:65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</row>
    <row r="45" spans="1:65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</row>
    <row r="46" spans="1:65">
      <c r="A46" s="25"/>
      <c r="B46" s="26"/>
      <c r="C46" s="26"/>
      <c r="D46" s="26"/>
      <c r="E46" s="26"/>
      <c r="F46" s="26"/>
      <c r="G46" s="26"/>
      <c r="H46" s="26"/>
      <c r="I46" s="26"/>
      <c r="J46" s="26"/>
      <c r="K46" s="2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</row>
    <row r="47" spans="1:65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</row>
    <row r="48" spans="1:6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</row>
    <row r="49" spans="1:65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1:65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1:65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1:65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30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 spans="1:6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 spans="1:6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1:6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1:6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 spans="1:6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 spans="1:6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</row>
    <row r="59" spans="1:6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</row>
    <row r="60" spans="1:6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</row>
    <row r="61" spans="1:6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</row>
    <row r="62" spans="1:6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</row>
    <row r="63" spans="1:6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</row>
    <row r="64" spans="1:6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</row>
    <row r="65" spans="1: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</row>
    <row r="66" spans="1:6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</row>
    <row r="67" spans="1:6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</row>
    <row r="68" spans="1:6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</row>
    <row r="69" spans="1:6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</row>
    <row r="70" spans="1:6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</row>
    <row r="71" spans="1:6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</row>
    <row r="72" spans="1:6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</row>
    <row r="73" spans="1:6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</row>
    <row r="74" spans="1:6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</row>
    <row r="75" spans="1:6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</row>
    <row r="76" spans="1:6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</row>
    <row r="77" spans="1:6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 spans="1:6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spans="1:6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spans="1:6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 spans="1:6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</row>
    <row r="82" spans="1:6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</row>
    <row r="83" spans="1:6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</row>
    <row r="84" spans="1:6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</row>
    <row r="85" spans="1:6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</row>
    <row r="86" spans="1:6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</row>
    <row r="87" spans="1:6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</row>
    <row r="88" spans="1:6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</row>
    <row r="89" spans="1:6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</row>
    <row r="90" spans="1:6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</row>
    <row r="91" spans="1:65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</row>
    <row r="92" spans="1:65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</row>
    <row r="93" spans="1:65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</row>
    <row r="94" spans="1:65"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</row>
    <row r="95" spans="1:65"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</row>
    <row r="96" spans="1:65"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</row>
    <row r="97" spans="12:65"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</row>
    <row r="98" spans="12:65"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</row>
    <row r="99" spans="12:65"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</row>
    <row r="100" spans="12:65"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</row>
    <row r="101" spans="12:65"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</row>
    <row r="102" spans="12:65"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</row>
    <row r="103" spans="12:65"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</row>
    <row r="104" spans="12:65"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</row>
    <row r="105" spans="12:65"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</row>
    <row r="106" spans="12:65"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</row>
    <row r="107" spans="12:65"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</row>
    <row r="108" spans="12:65"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</row>
    <row r="109" spans="12:65"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</row>
    <row r="110" spans="12:65"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</row>
    <row r="111" spans="12:65"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</row>
    <row r="112" spans="12:65"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</row>
  </sheetData>
  <mergeCells count="8">
    <mergeCell ref="A1:K1"/>
    <mergeCell ref="A2:C2"/>
    <mergeCell ref="D2:H2"/>
    <mergeCell ref="I2:K2"/>
    <mergeCell ref="A3:K3"/>
    <mergeCell ref="A4:K4"/>
    <mergeCell ref="A5:K5"/>
    <mergeCell ref="A6:K6"/>
  </mergeCells>
  <printOptions horizontalCentered="1"/>
  <pageMargins left="0.196527777777778" right="0.196527777777778" top="0.393055555555556" bottom="0.393055555555556" header="0.511805555555556" footer="0.196527777777778"/>
  <pageSetup paperSize="9" scale="86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</vt:lpstr>
      <vt:lpstr>拓扑图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wang</dc:creator>
  <cp:lastModifiedBy>梦想起航</cp:lastModifiedBy>
  <cp:revision>1</cp:revision>
  <dcterms:created xsi:type="dcterms:W3CDTF">2020-09-15T09:01:00Z</dcterms:created>
  <cp:lastPrinted>2024-07-10T02:37:00Z</cp:lastPrinted>
  <dcterms:modified xsi:type="dcterms:W3CDTF">2026-05-15T01:11:13Z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09A043939F09408FAA52672B1A50BD37_13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