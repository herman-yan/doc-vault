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5"/>
  </bookViews>
  <sheets>
    <sheet name="Sheet1" sheetId="1" r:id="rId1"/>
    <sheet name="Sheet2" sheetId="2" r:id="rId2"/>
  </sheets>
  <definedNames>
    <definedName name="_xlnm._FilterDatabase" localSheetId="0">Sheet1!$7:$28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J4" authorId="0">
      <text>
        <r>
          <rPr>
            <b/>
            <sz val="9"/>
            <color rgb="FF000000"/>
            <rFont val="宋体"/>
            <charset val="134"/>
          </rPr>
          <t>cc:</t>
        </r>
        <r>
          <rPr>
            <sz val="9"/>
            <color rgb="FF000000"/>
            <rFont val="宋体"/>
            <charset val="134"/>
          </rPr>
          <t xml:space="preserve">
DB+城市缩写+订单日期</t>
        </r>
        <r>
          <rPr>
            <sz val="10"/>
            <rFont val="宋体"/>
            <charset val="134"/>
          </rPr>
          <t xml:space="preserve">
  - 曹芸梦</t>
        </r>
      </text>
    </comment>
    <comment ref="J7" authorId="0">
      <text>
        <r>
          <rPr>
            <sz val="9"/>
            <color rgb="FF000000"/>
            <rFont val="宋体"/>
            <charset val="134"/>
          </rPr>
          <t>类型选择车端/站端</t>
        </r>
        <r>
          <rPr>
            <sz val="10"/>
            <rFont val="宋体"/>
            <charset val="134"/>
          </rPr>
          <t xml:space="preserve">
  - 曹芸梦</t>
        </r>
      </text>
    </comment>
    <comment ref="K7" authorId="0">
      <text>
        <r>
          <rPr>
            <sz val="9"/>
            <color rgb="FF000000"/>
            <rFont val="宋体"/>
            <charset val="134"/>
          </rPr>
          <t>城市当前库存量</t>
        </r>
        <r>
          <rPr>
            <sz val="10"/>
            <rFont val="宋体"/>
            <charset val="134"/>
          </rPr>
          <t xml:space="preserve">
  - 曹芸梦</t>
        </r>
      </text>
    </comment>
  </commentList>
</comments>
</file>

<file path=xl/sharedStrings.xml><?xml version="1.0" encoding="utf-8"?>
<sst xmlns="http://schemas.openxmlformats.org/spreadsheetml/2006/main" count="56" uniqueCount="56">
  <si>
    <t>备件采购订单</t>
  </si>
  <si>
    <t>采购方(甲方)：宁家(北京)汽车服务有限公司</t>
  </si>
  <si>
    <t>供应方(乙方)：上海电巴新能源科技有限公司</t>
  </si>
  <si>
    <t>订单类型：</t>
  </si>
  <si>
    <t>备件订单</t>
  </si>
  <si>
    <t>订单日期：</t>
  </si>
  <si>
    <t>2026-4-1</t>
  </si>
  <si>
    <t>订单编号：</t>
  </si>
  <si>
    <t>DB-NJ-20260401</t>
  </si>
  <si>
    <t>收货地点(甲方):</t>
  </si>
  <si>
    <t>北京市大兴区亦庄科创二街6号宁家服务</t>
  </si>
  <si>
    <t>甲方向乙方订购的备件具体名称、代码、数量、价格如下：</t>
  </si>
  <si>
    <t>序号</t>
  </si>
  <si>
    <t>旧产品代码</t>
  </si>
  <si>
    <t>新产品代码</t>
  </si>
  <si>
    <t>产品名称</t>
  </si>
  <si>
    <t>规格型号</t>
  </si>
  <si>
    <t>单位</t>
  </si>
  <si>
    <t>数量</t>
  </si>
  <si>
    <t>含税单价</t>
  </si>
  <si>
    <t>含税总价</t>
  </si>
  <si>
    <t>类型</t>
  </si>
  <si>
    <t>库存</t>
  </si>
  <si>
    <t>备注</t>
  </si>
  <si>
    <t>1</t>
  </si>
  <si>
    <t>62.026.0577</t>
  </si>
  <si>
    <t>C40箱体定位块(75)</t>
  </si>
  <si>
    <t>DB02A.13B1.2.2</t>
  </si>
  <si>
    <t>个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</si>
  <si>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</si>
  <si>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</si>
  <si>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</si>
  <si>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</si>
  <si>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</si>
  <si>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</si>
  <si>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</si>
  <si>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</si>
  <si>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</si>
  <si>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</si>
  <si>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</si>
  <si>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</si>
  <si>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</si>
  <si>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</si>
  <si>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</si>
  <si>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</si>
  <si>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合计金额（大写）：</t>
  </si>
  <si>
    <t>合计金额（小写）：</t>
  </si>
  <si>
    <t>制单人(甲方)：</t>
  </si>
  <si>
    <t>电话(甲方)：</t>
  </si>
  <si>
    <t>审批人（甲方）：</t>
  </si>
  <si>
    <t>收单人(乙方)：</t>
  </si>
  <si>
    <t>收单日期(乙方)：</t>
  </si>
  <si>
    <t>审核人（乙方）：</t>
  </si>
  <si>
    <t>说明：
1.乙方实际发货可能与甲方订单有差异，按双方签字确认备件发货通知单为准； 
2.正常订单交付周期参考《备件标准清单》，特殊加急件交付时间另议；
3.零件图册中没有的零件，请向售后服务部确认后再下单；</t>
  </si>
  <si>
    <t>车端</t>
  </si>
  <si>
    <t>站端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</si>
</sst>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0_ "/>
    <numFmt numFmtId="178" formatCode="[$-409]yyyy\-mm\-dd;@"/>
    <numFmt numFmtId="179" formatCode="0.00_ "/>
    <numFmt numFmtId="180" formatCode="0.00_);[Red]\(0.00\)"/>
  </numFmts>
  <fonts count="3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6">
    <xf numFmtId="176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176" fontId="26" fillId="35" borderId="0" applyNumberFormat="0" applyBorder="0" applyAlignment="0" applyProtection="0">
      <alignment vertical="center"/>
    </xf>
    <xf numFmtId="176" fontId="27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27" fillId="0" borderId="0"/>
    <xf numFmtId="176" fontId="27" fillId="0" borderId="0"/>
    <xf numFmtId="176" fontId="27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7" fillId="0" borderId="0" applyBorder="0"/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7" fillId="0" borderId="0" applyBorder="0"/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9" fillId="0" borderId="0" applyNumberFormat="0" applyFont="0" applyFill="0" applyBorder="0" applyAlignment="0" applyProtection="0"/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7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</cellStyleXfs>
  <cellXfs count="39">
    <xf numFmtId="176" fontId="0" fillId="0" borderId="0" xfId="0">
      <alignment vertical="center"/>
    </xf>
    <xf numFmtId="176" fontId="1" fillId="0" borderId="0" xfId="0" applyFo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3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177" fontId="2" fillId="0" borderId="0" xfId="0" applyNumberFormat="1" applyFont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49" fontId="0" fillId="0" borderId="0" xfId="0" applyNumberFormat="1">
      <alignment vertical="center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177" fontId="5" fillId="0" borderId="1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left" vertical="center" wrapText="1"/>
    </xf>
    <xf numFmtId="177" fontId="5" fillId="0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5" fillId="0" borderId="1" xfId="0" applyNumberFormat="1" applyFont="1" applyFill="1" applyBorder="1" applyAlignment="1" applyProtection="1">
      <alignment horizontal="left" wrapText="1"/>
    </xf>
    <xf numFmtId="177" fontId="5" fillId="0" borderId="1" xfId="0" applyNumberFormat="1" applyFont="1" applyFill="1" applyBorder="1" applyAlignment="1" applyProtection="1">
      <alignment horizontal="left" wrapText="1"/>
    </xf>
    <xf numFmtId="177" fontId="2" fillId="0" borderId="1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49" fontId="6" fillId="2" borderId="1" xfId="55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79" fontId="2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178" fontId="2" fillId="3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left" vertical="center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180" fontId="5" fillId="0" borderId="1" xfId="0" applyNumberFormat="1" applyFont="1" applyFill="1" applyBorder="1" applyAlignment="1" applyProtection="1">
      <alignment horizontal="center" vertical="center" wrapText="1"/>
    </xf>
    <xf numFmtId="177" fontId="2" fillId="0" borderId="1" xfId="0" applyNumberFormat="1" applyFont="1" applyFill="1" applyBorder="1" applyAlignment="1" applyProtection="1">
      <alignment horizontal="left" vertical="center" wrapText="1"/>
    </xf>
  </cellXfs>
  <cellStyles count="1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5 2 2" xfId="49"/>
    <cellStyle name="Normal 5" xfId="50"/>
    <cellStyle name="常规 2" xfId="51"/>
    <cellStyle name="常规 2 2" xfId="52"/>
    <cellStyle name="常规 2 2 2" xfId="53"/>
    <cellStyle name="常规 2 2 2 2" xfId="54"/>
    <cellStyle name="常规 2 2 2 2 2" xfId="55"/>
    <cellStyle name="常规 2 2 2 3" xfId="56"/>
    <cellStyle name="常规 2 2 3" xfId="57"/>
    <cellStyle name="常规 2 2 3 2" xfId="58"/>
    <cellStyle name="常规 2 2 3 2 2" xfId="59"/>
    <cellStyle name="常规 2 2 3 3" xfId="60"/>
    <cellStyle name="常规 2 2 3 3 2" xfId="61"/>
    <cellStyle name="常规 2 2 3 4" xfId="62"/>
    <cellStyle name="常规 2 2 4" xfId="63"/>
    <cellStyle name="常规 2 2 4 2" xfId="64"/>
    <cellStyle name="常规 2 2 5" xfId="65"/>
    <cellStyle name="常规 2 3" xfId="66"/>
    <cellStyle name="常规 2 3 2" xfId="67"/>
    <cellStyle name="常规 2 3 2 2" xfId="68"/>
    <cellStyle name="常规 2 3 2 2 2" xfId="69"/>
    <cellStyle name="常规 2 3 2 3" xfId="70"/>
    <cellStyle name="常规 2 3 3" xfId="71"/>
    <cellStyle name="常规 2 3 3 2" xfId="72"/>
    <cellStyle name="常规 2 3 3 2 2" xfId="73"/>
    <cellStyle name="常规 2 3 3 3" xfId="74"/>
    <cellStyle name="常规 2 3 3 3 2" xfId="75"/>
    <cellStyle name="常规 2 3 3 4" xfId="76"/>
    <cellStyle name="常规 2 3 4" xfId="77"/>
    <cellStyle name="常规 2 3 4 2" xfId="78"/>
    <cellStyle name="常规 2 3 5" xfId="79"/>
    <cellStyle name="常规 2 4" xfId="80"/>
    <cellStyle name="常规 2 4 2" xfId="81"/>
    <cellStyle name="常规 2 4 2 2" xfId="82"/>
    <cellStyle name="常规 2 4 3" xfId="83"/>
    <cellStyle name="常规 2 4 3 2" xfId="84"/>
    <cellStyle name="常规 2 4 4" xfId="85"/>
    <cellStyle name="常规 2 5" xfId="86"/>
    <cellStyle name="常规 2 5 2" xfId="87"/>
    <cellStyle name="常规 2 5 2 2" xfId="88"/>
    <cellStyle name="常规 2 5 3" xfId="89"/>
    <cellStyle name="常规 2 6" xfId="90"/>
    <cellStyle name="常规 2 6 2" xfId="91"/>
    <cellStyle name="常规 2 7" xfId="92"/>
    <cellStyle name="常规 2 8" xfId="93"/>
    <cellStyle name="常规 2 8 2" xfId="94"/>
    <cellStyle name="常规 3" xfId="95"/>
    <cellStyle name="常规 3 10" xfId="96"/>
    <cellStyle name="常规 3 2" xfId="97"/>
    <cellStyle name="常规 3 2 2" xfId="98"/>
    <cellStyle name="常规 3 2 2 2" xfId="99"/>
    <cellStyle name="常规 3 2 2 2 2" xfId="100"/>
    <cellStyle name="常规 3 2 2 3" xfId="101"/>
    <cellStyle name="常规 3 2 2 4" xfId="102"/>
    <cellStyle name="常规 3 2 3" xfId="103"/>
    <cellStyle name="常规 3 2 3 2" xfId="104"/>
    <cellStyle name="常规 3 2 4" xfId="105"/>
    <cellStyle name="常规 3 3" xfId="106"/>
    <cellStyle name="常规 3 3 2" xfId="107"/>
    <cellStyle name="常规 3 3 2 2" xfId="108"/>
    <cellStyle name="常规 3 3 2 2 2" xfId="109"/>
    <cellStyle name="常规 3 3 2 3" xfId="110"/>
    <cellStyle name="常规 3 3 2 4" xfId="111"/>
    <cellStyle name="常规 3 3 3" xfId="112"/>
    <cellStyle name="常规 3 3 3 2" xfId="113"/>
    <cellStyle name="常规 3 3 4" xfId="114"/>
    <cellStyle name="常规 3 4" xfId="115"/>
    <cellStyle name="常规 3 4 2" xfId="116"/>
    <cellStyle name="常规 3 4 2 2" xfId="117"/>
    <cellStyle name="常规 3 4 3" xfId="118"/>
    <cellStyle name="常规 3 4 3 2" xfId="119"/>
    <cellStyle name="常规 3 4 4" xfId="120"/>
    <cellStyle name="常规 3 5" xfId="121"/>
    <cellStyle name="常规 3 5 2" xfId="122"/>
    <cellStyle name="常规 3 5 2 2" xfId="123"/>
    <cellStyle name="常规 3 5 3" xfId="124"/>
    <cellStyle name="常规 3 6" xfId="125"/>
    <cellStyle name="常规 3 6 2" xfId="126"/>
    <cellStyle name="常规 3 6 2 2" xfId="127"/>
    <cellStyle name="常规 3 6 3" xfId="128"/>
    <cellStyle name="常规 3 7" xfId="129"/>
    <cellStyle name="常规 3 8" xfId="130"/>
    <cellStyle name="常规 3 8 2" xfId="131"/>
    <cellStyle name="常规 3 9" xfId="132"/>
    <cellStyle name="常规 4" xfId="133"/>
    <cellStyle name="常规 4 2" xfId="134"/>
    <cellStyle name="常规 4 2 2" xfId="135"/>
    <cellStyle name="常规 4 2 2 2" xfId="136"/>
    <cellStyle name="常规 4 2 3" xfId="137"/>
    <cellStyle name="常规 4 2 3 2" xfId="138"/>
    <cellStyle name="常规 4 2 4" xfId="139"/>
    <cellStyle name="常规 4 3" xfId="140"/>
    <cellStyle name="常规 4 3 2" xfId="141"/>
    <cellStyle name="常规 4 4" xfId="142"/>
    <cellStyle name="常规 5" xfId="143"/>
    <cellStyle name="常规 5 2" xfId="144"/>
    <cellStyle name="常规 5 2 2" xfId="145"/>
    <cellStyle name="常规 5 2 2 2" xfId="146"/>
    <cellStyle name="常规 5 2 3" xfId="147"/>
    <cellStyle name="常规 5 3" xfId="148"/>
    <cellStyle name="常规 5 3 2" xfId="149"/>
    <cellStyle name="常规 5 3 2 2" xfId="150"/>
    <cellStyle name="常规 5 3 3" xfId="151"/>
    <cellStyle name="常规 5 3 4" xfId="152"/>
    <cellStyle name="常规 5 4" xfId="153"/>
    <cellStyle name="常规 5 4 2" xfId="154"/>
    <cellStyle name="常规 5 5" xfId="155"/>
    <cellStyle name="常规 6" xfId="156"/>
    <cellStyle name="常规 6 2" xfId="157"/>
    <cellStyle name="常规 6 2 2" xfId="158"/>
    <cellStyle name="常规 6 3" xfId="159"/>
    <cellStyle name="常规 7" xfId="160"/>
    <cellStyle name="常规 7 2" xfId="161"/>
    <cellStyle name="常规 7 2 2" xfId="162"/>
    <cellStyle name="常规 7 3" xfId="163"/>
    <cellStyle name="常规 8" xfId="164"/>
    <cellStyle name="常规 8 2" xfId="165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Invisible" pivot="0" table="0" count="0" xr9:uid="{14299CB8-504A-4F47-A9EF-0E0D46524F4C}"/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C28"/>
  <sheetViews>
    <sheetView tabSelected="1" zoomScale="70" zoomScaleNormal="70" workbookViewId="0">
      <selection activeCell="R16" sqref="R16"/>
    </sheetView>
  </sheetViews>
  <sheetFormatPr defaultColWidth="9" defaultRowHeight="17.45" customHeight="1"/>
  <cols>
    <col min="1" max="1" width="7.125" style="2" customWidth="1"/>
    <col min="2" max="2" width="19.75" style="2" customWidth="1"/>
    <col min="3" max="3" width="19.125" style="7" customWidth="1"/>
    <col min="4" max="4" width="41.6083333333333" style="2" customWidth="1"/>
    <col min="5" max="5" width="30.375" style="2" customWidth="1"/>
    <col min="6" max="6" width="7.125" style="2" customWidth="1"/>
    <col min="7" max="7" width="10.7083333333333" style="8" customWidth="1"/>
    <col min="8" max="9" width="14.125" style="8" customWidth="1"/>
    <col min="10" max="11" width="9.375" style="8" customWidth="1"/>
    <col min="12" max="12" width="19.25" style="2" customWidth="1"/>
    <col min="13" max="13" width="9" style="2" customWidth="1"/>
    <col min="14" max="14" width="9" style="2"/>
    <col min="15" max="15" width="9" style="2" customWidth="1"/>
    <col min="16" max="29" width="9" style="2"/>
    <col min="30" max="16384" width="9" style="9"/>
  </cols>
  <sheetData>
    <row r="1" s="2" customFormat="1" ht="39" customHeight="1" spans="1:29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10"/>
      <c r="L1" s="10"/>
    </row>
    <row r="2" s="2" customFormat="1" ht="27.95" customHeight="1" spans="1:29">
      <c r="A2" s="12" t="s">
        <v>1</v>
      </c>
      <c r="B2" s="12"/>
      <c r="C2" s="13"/>
      <c r="D2" s="12"/>
      <c r="E2" s="12"/>
      <c r="F2" s="12"/>
      <c r="G2" s="12"/>
      <c r="H2" s="12"/>
      <c r="I2" s="12"/>
      <c r="J2" s="12"/>
      <c r="K2" s="12"/>
      <c r="L2" s="12"/>
    </row>
    <row r="3" s="2" customFormat="1" ht="27.95" customHeight="1" spans="1:29">
      <c r="A3" s="12" t="s">
        <v>2</v>
      </c>
      <c r="B3" s="12"/>
      <c r="C3" s="13"/>
      <c r="D3" s="12"/>
      <c r="E3" s="12"/>
      <c r="F3" s="12"/>
      <c r="G3" s="12"/>
      <c r="H3" s="12"/>
      <c r="I3" s="12"/>
      <c r="J3" s="12"/>
      <c r="K3" s="12"/>
      <c r="L3" s="12"/>
    </row>
    <row r="4" s="2" customFormat="1" ht="27.95" customHeight="1" spans="1:29">
      <c r="A4" s="10" t="s">
        <v>3</v>
      </c>
      <c r="B4" s="10"/>
      <c r="C4" s="11"/>
      <c r="D4" s="10" t="s">
        <v>4</v>
      </c>
      <c r="E4" s="10" t="s">
        <v>5</v>
      </c>
      <c r="F4" s="14" t="s">
        <v>6</v>
      </c>
      <c r="G4" s="14"/>
      <c r="H4" s="15" t="s">
        <v>7</v>
      </c>
      <c r="I4" s="15"/>
      <c r="J4" s="16" t="s">
        <v>8</v>
      </c>
      <c r="K4" s="16"/>
      <c r="L4" s="16"/>
    </row>
    <row r="5" s="2" customFormat="1" ht="27.95" customHeight="1" spans="1:29">
      <c r="A5" s="10" t="s">
        <v>9</v>
      </c>
      <c r="B5" s="10"/>
      <c r="C5" s="11"/>
      <c r="D5" s="16" t="s">
        <v>10</v>
      </c>
      <c r="E5" s="16"/>
      <c r="F5" s="16"/>
      <c r="G5" s="16"/>
      <c r="H5" s="16"/>
      <c r="I5" s="16"/>
      <c r="J5" s="16"/>
      <c r="K5" s="16"/>
      <c r="L5" s="16"/>
    </row>
    <row r="6" s="3" customFormat="1" ht="30" customHeight="1" spans="1:29">
      <c r="A6" s="17" t="s">
        <v>11</v>
      </c>
      <c r="B6" s="17"/>
      <c r="C6" s="18"/>
      <c r="D6" s="17"/>
      <c r="E6" s="17"/>
      <c r="F6" s="17"/>
      <c r="G6" s="17"/>
      <c r="H6" s="17"/>
      <c r="I6" s="17"/>
      <c r="J6" s="17"/>
      <c r="K6" s="17"/>
      <c r="L6" s="17"/>
    </row>
    <row r="7" s="4" customFormat="1" ht="44.1" customHeight="1" spans="1:29">
      <c r="A7" s="14" t="s">
        <v>12</v>
      </c>
      <c r="B7" s="14" t="s">
        <v>13</v>
      </c>
      <c r="C7" s="19" t="s">
        <v>14</v>
      </c>
      <c r="D7" s="14" t="s">
        <v>15</v>
      </c>
      <c r="E7" s="14" t="s">
        <v>16</v>
      </c>
      <c r="F7" s="14" t="s">
        <v>17</v>
      </c>
      <c r="G7" s="20" t="s">
        <v>18</v>
      </c>
      <c r="H7" s="20" t="s">
        <v>19</v>
      </c>
      <c r="I7" s="20" t="s">
        <v>20</v>
      </c>
      <c r="J7" s="20" t="s">
        <v>21</v>
      </c>
      <c r="K7" s="20" t="s">
        <v>22</v>
      </c>
      <c r="L7" s="14" t="s">
        <v>23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="5" customFormat="1" ht="33" customHeight="1" spans="1:29">
      <c r="A8" s="14" t="s">
        <v>24</v>
      </c>
      <c r="B8" s="22" t="s">
        <v>25</v>
      </c>
      <c r="C8" s="23">
        <v>3060100150</v>
      </c>
      <c r="D8" s="23" t="s">
        <v>26</v>
      </c>
      <c r="E8" s="24" t="s">
        <v>27</v>
      </c>
      <c r="F8" s="25" t="s">
        <v>28</v>
      </c>
      <c r="G8" s="23">
        <v>20</v>
      </c>
      <c r="H8" s="26">
        <v>15.61</v>
      </c>
      <c r="I8" s="27">
        <f>G8*H8</f>
        <v>312.2</v>
      </c>
      <c r="J8" s="27"/>
      <c r="K8" s="28"/>
      <c r="L8" s="29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="5" customFormat="1" ht="33" customHeight="1" spans="1:29">
      <c r="A9" s="14" t="s">
        <v>29</v>
      </c>
      <c r="B9" s="30"/>
      <c r="C9" s="29"/>
      <c r="D9" s="29"/>
      <c r="E9" s="31"/>
      <c r="F9" s="25"/>
      <c r="G9" s="23"/>
      <c r="H9" s="26"/>
      <c r="I9" s="27"/>
      <c r="J9" s="27"/>
      <c r="K9" s="28"/>
      <c r="L9" s="29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="5" customFormat="1" ht="33" customHeight="1" spans="1:29">
      <c r="A10" s="14" t="s">
        <v>30</v>
      </c>
      <c r="B10" s="28"/>
      <c r="C10" s="29"/>
      <c r="D10" s="29"/>
      <c r="E10" s="31"/>
      <c r="F10" s="25"/>
      <c r="G10" s="23"/>
      <c r="H10" s="26"/>
      <c r="I10" s="27"/>
      <c r="J10" s="27"/>
      <c r="K10" s="28"/>
      <c r="L10" s="29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="5" customFormat="1" ht="33" customHeight="1" spans="1:29">
      <c r="A11" s="14" t="s">
        <v>31</v>
      </c>
      <c r="B11" s="28"/>
      <c r="C11" s="29"/>
      <c r="D11" s="29"/>
      <c r="E11" s="31"/>
      <c r="F11" s="25"/>
      <c r="G11" s="23"/>
      <c r="H11" s="26"/>
      <c r="I11" s="27"/>
      <c r="J11" s="27"/>
      <c r="K11" s="28"/>
      <c r="L11" s="29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="5" customFormat="1" ht="33" customHeight="1" spans="1:29">
      <c r="A12" s="14" t="s">
        <v>32</v>
      </c>
      <c r="B12" s="29"/>
      <c r="C12" s="29"/>
      <c r="D12" s="29"/>
      <c r="E12" s="31"/>
      <c r="F12" s="25"/>
      <c r="G12" s="23"/>
      <c r="H12" s="26"/>
      <c r="I12" s="27"/>
      <c r="J12" s="27"/>
      <c r="K12" s="28"/>
      <c r="L12" s="29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="5" customFormat="1" ht="33" customHeight="1" spans="1:29">
      <c r="A13" s="14" t="s">
        <v>33</v>
      </c>
      <c r="B13" s="29"/>
      <c r="C13" s="29"/>
      <c r="D13" s="29"/>
      <c r="E13" s="31"/>
      <c r="F13" s="25"/>
      <c r="G13" s="23"/>
      <c r="H13" s="26"/>
      <c r="I13" s="27"/>
      <c r="J13" s="27"/>
      <c r="K13" s="28"/>
      <c r="L13" s="29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="5" customFormat="1" ht="33" customHeight="1" spans="1:29">
      <c r="A14" s="14" t="s">
        <v>34</v>
      </c>
      <c r="B14" s="30"/>
      <c r="C14" s="32"/>
      <c r="D14" s="29"/>
      <c r="E14" s="31"/>
      <c r="F14" s="25"/>
      <c r="G14" s="23"/>
      <c r="H14" s="26"/>
      <c r="I14" s="27"/>
      <c r="J14" s="27"/>
      <c r="K14" s="28"/>
      <c r="L14" s="29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="5" customFormat="1" ht="33" customHeight="1" spans="1:29">
      <c r="A15" s="14" t="s">
        <v>35</v>
      </c>
      <c r="B15" s="30"/>
      <c r="C15" s="32"/>
      <c r="D15" s="29"/>
      <c r="E15" s="31"/>
      <c r="F15" s="25"/>
      <c r="G15" s="23"/>
      <c r="H15" s="26"/>
      <c r="I15" s="27"/>
      <c r="J15" s="27"/>
      <c r="K15" s="28"/>
      <c r="L15" s="29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="5" customFormat="1" ht="33" customHeight="1" spans="1:29">
      <c r="A16" s="14" t="s">
        <v>36</v>
      </c>
      <c r="B16" s="30"/>
      <c r="C16" s="29"/>
      <c r="D16" s="29"/>
      <c r="E16" s="31"/>
      <c r="F16" s="25"/>
      <c r="G16" s="23"/>
      <c r="H16" s="26"/>
      <c r="I16" s="27"/>
      <c r="J16" s="27"/>
      <c r="K16" s="28"/>
      <c r="L16" s="29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="5" customFormat="1" ht="33" customHeight="1" spans="1:29">
      <c r="A17" s="14" t="s">
        <v>37</v>
      </c>
      <c r="B17" s="30"/>
      <c r="C17" s="29"/>
      <c r="D17" s="29"/>
      <c r="E17" s="31"/>
      <c r="F17" s="25"/>
      <c r="G17" s="23"/>
      <c r="H17" s="26"/>
      <c r="I17" s="27"/>
      <c r="J17" s="27"/>
      <c r="K17" s="28"/>
      <c r="L17" s="29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="5" customFormat="1" ht="33" customHeight="1" spans="1:29">
      <c r="A18" s="14" t="s">
        <v>38</v>
      </c>
      <c r="B18" s="30"/>
      <c r="C18" s="29"/>
      <c r="D18" s="29"/>
      <c r="E18" s="31"/>
      <c r="F18" s="25"/>
      <c r="G18" s="23"/>
      <c r="H18" s="26"/>
      <c r="I18" s="27"/>
      <c r="J18" s="27"/>
      <c r="K18" s="28"/>
      <c r="L18" s="29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="5" customFormat="1" ht="33" customHeight="1" spans="1:29">
      <c r="A19" s="14" t="s">
        <v>39</v>
      </c>
      <c r="B19" s="30"/>
      <c r="C19" s="29"/>
      <c r="D19" s="29"/>
      <c r="E19" s="31"/>
      <c r="F19" s="25"/>
      <c r="G19" s="23"/>
      <c r="H19" s="26"/>
      <c r="I19" s="27"/>
      <c r="J19" s="27"/>
      <c r="K19" s="28"/>
      <c r="L19" s="29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="5" customFormat="1" ht="33" customHeight="1" spans="1:29">
      <c r="A20" s="14" t="s">
        <v>40</v>
      </c>
      <c r="B20" s="30"/>
      <c r="C20" s="29"/>
      <c r="D20" s="29"/>
      <c r="E20" s="31"/>
      <c r="F20" s="25"/>
      <c r="G20" s="23"/>
      <c r="H20" s="26"/>
      <c r="I20" s="27"/>
      <c r="J20" s="27"/>
      <c r="K20" s="28"/>
      <c r="L20" s="29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="5" customFormat="1" ht="33" customHeight="1" spans="1:29">
      <c r="A21" s="14" t="s">
        <v>41</v>
      </c>
      <c r="B21" s="30"/>
      <c r="C21" s="29"/>
      <c r="D21" s="29"/>
      <c r="E21" s="31"/>
      <c r="F21" s="25"/>
      <c r="G21" s="23"/>
      <c r="H21" s="26"/>
      <c r="I21" s="27"/>
      <c r="J21" s="27"/>
      <c r="K21" s="28"/>
      <c r="L21" s="29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="5" customFormat="1" ht="33" customHeight="1" spans="1:29">
      <c r="A22" s="14" t="s">
        <v>42</v>
      </c>
      <c r="B22" s="33"/>
      <c r="C22" s="33"/>
      <c r="D22" s="29"/>
      <c r="E22" s="31"/>
      <c r="F22" s="25"/>
      <c r="G22" s="34"/>
      <c r="H22" s="26"/>
      <c r="I22" s="27"/>
      <c r="J22" s="27"/>
      <c r="K22" s="35"/>
      <c r="L22" s="3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="5" customFormat="1" ht="33" customHeight="1" spans="1:29">
      <c r="A23" s="14" t="s">
        <v>43</v>
      </c>
      <c r="B23" s="33"/>
      <c r="C23" s="33"/>
      <c r="D23" s="29"/>
      <c r="E23" s="31"/>
      <c r="F23" s="25"/>
      <c r="G23" s="34"/>
      <c r="H23" s="26"/>
      <c r="I23" s="27"/>
      <c r="J23" s="27"/>
      <c r="K23" s="35"/>
      <c r="L23" s="3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="5" customFormat="1" ht="33" customHeight="1" spans="1:29">
      <c r="A24" s="14" t="s">
        <v>44</v>
      </c>
      <c r="B24" s="33"/>
      <c r="C24" s="33"/>
      <c r="D24" s="29"/>
      <c r="E24" s="31"/>
      <c r="F24" s="25"/>
      <c r="G24" s="34"/>
      <c r="H24" s="26"/>
      <c r="I24" s="27"/>
      <c r="J24" s="27"/>
      <c r="K24" s="35"/>
      <c r="L24" s="3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="6" customFormat="1" ht="35.1" customHeight="1" spans="1:29">
      <c r="A25" s="10" t="s">
        <v>45</v>
      </c>
      <c r="B25" s="10"/>
      <c r="C25" s="11"/>
      <c r="D25" s="36">
        <f>I25</f>
        <v>312.2</v>
      </c>
      <c r="E25" s="36"/>
      <c r="F25" s="10" t="s">
        <v>46</v>
      </c>
      <c r="G25" s="10"/>
      <c r="H25" s="10"/>
      <c r="I25" s="37">
        <f>SUM(I8:I24)</f>
        <v>312.2</v>
      </c>
      <c r="J25" s="37"/>
      <c r="K25" s="37"/>
      <c r="L25" s="37"/>
    </row>
    <row r="26" ht="34.9" customHeight="1" spans="1:29">
      <c r="A26" s="10" t="s">
        <v>47</v>
      </c>
      <c r="B26" s="10"/>
      <c r="C26" s="11"/>
      <c r="D26" s="14"/>
      <c r="E26" s="10" t="s">
        <v>48</v>
      </c>
      <c r="F26" s="14"/>
      <c r="G26" s="14"/>
      <c r="H26" s="14"/>
      <c r="I26" s="15" t="s">
        <v>49</v>
      </c>
      <c r="J26" s="15"/>
      <c r="K26" s="14"/>
      <c r="L26" s="14"/>
    </row>
    <row r="27" ht="34.9" customHeight="1" spans="1:29">
      <c r="A27" s="10" t="s">
        <v>50</v>
      </c>
      <c r="B27" s="10"/>
      <c r="C27" s="11"/>
      <c r="D27" s="14"/>
      <c r="E27" s="10" t="s">
        <v>51</v>
      </c>
      <c r="F27" s="14"/>
      <c r="G27" s="14"/>
      <c r="H27" s="14"/>
      <c r="I27" s="15" t="s">
        <v>52</v>
      </c>
      <c r="J27" s="15"/>
      <c r="K27" s="14"/>
      <c r="L27" s="14"/>
    </row>
    <row r="28" ht="85.15" customHeight="1" spans="1:29">
      <c r="A28" s="16" t="s">
        <v>53</v>
      </c>
      <c r="B28" s="16"/>
      <c r="C28" s="38"/>
      <c r="D28" s="16"/>
      <c r="E28" s="16"/>
      <c r="F28" s="16"/>
      <c r="G28" s="16"/>
      <c r="H28" s="16"/>
      <c r="I28" s="16"/>
      <c r="J28" s="16"/>
      <c r="K28" s="16"/>
      <c r="L28" s="16"/>
    </row>
  </sheetData>
  <mergeCells count="23">
    <mergeCell ref="A1:L1"/>
    <mergeCell ref="A2:L2"/>
    <mergeCell ref="A3:L3"/>
    <mergeCell ref="A4:C4"/>
    <mergeCell ref="F4:G4"/>
    <mergeCell ref="H4:I4"/>
    <mergeCell ref="J4:L4"/>
    <mergeCell ref="A5:C5"/>
    <mergeCell ref="D5:L5"/>
    <mergeCell ref="A6:L6"/>
    <mergeCell ref="A25:C25"/>
    <mergeCell ref="D25:E25"/>
    <mergeCell ref="F25:H25"/>
    <mergeCell ref="I25:L25"/>
    <mergeCell ref="A26:C26"/>
    <mergeCell ref="F26:H26"/>
    <mergeCell ref="I26:J26"/>
    <mergeCell ref="K26:L26"/>
    <mergeCell ref="A27:C27"/>
    <mergeCell ref="F27:H27"/>
    <mergeCell ref="I27:J27"/>
    <mergeCell ref="K27:L27"/>
    <mergeCell ref="A28:L28"/>
  </mergeCells>
  <conditionalFormatting sqref="B12">
    <cfRule type="duplicateValues" dxfId="0" priority="2"/>
  </conditionalFormatting>
  <conditionalFormatting sqref="B13">
    <cfRule type="duplicateValues" dxfId="0" priority="1"/>
  </conditionalFormatting>
  <printOptions horizontalCentered="1" verticalCentered="1"/>
  <pageMargins left="0.275" right="0.275" top="0.751388888888889" bottom="0.751388888888889" header="0.298611111111111" footer="0.298611111111111"/>
  <pageSetup paperSize="9" scale="55" orientation="landscape" horizontalDpi="600"/>
  <headerFooter/>
  <ignoredErrors>
    <ignoredError sqref="A8:A24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"/>
  <sheetViews>
    <sheetView workbookViewId="0">
      <selection activeCell="A1" sqref="A1"/>
    </sheetView>
  </sheetViews>
  <sheetFormatPr defaultColWidth="9" defaultRowHeight="14.45" customHeight="1" outlineLevelRow="1"/>
  <sheetData>
    <row r="1" customHeight="1" spans="1:1">
      <c r="A1" s="1" t="s">
        <v>54</v>
      </c>
    </row>
    <row r="2" customHeight="1" spans="1:1">
      <c r="A2" s="1" t="s">
        <v>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@ 乔 乔</cp:lastModifiedBy>
  <dcterms:created xsi:type="dcterms:W3CDTF">2006-09-16T00:00:00Z</dcterms:created>
  <cp:lastPrinted>2025-06-03T00:59:00Z</cp:lastPrinted>
  <dcterms:modified xsi:type="dcterms:W3CDTF">2026-04-01T09:47:28Z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34B5E28C00B74563BF6E431B547824B7_13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