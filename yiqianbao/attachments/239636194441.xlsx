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bdcn\Desktop\子公司\"/>
    </mc:Choice>
  </mc:AlternateContent>
  <bookViews>
    <workbookView windowWidth="18615" windowHeight="8055" activeTab="1"/>
  </bookViews>
  <sheets>
    <sheet name="录用条件说明" sheetId="2" r:id="rId1"/>
    <sheet name="第一个月考核表" sheetId="3" r:id="rId2"/>
    <sheet name="第二个月考核表" sheetId="4" r:id="rId3"/>
    <sheet name="第三个月考核表" sheetId="5" r:id="rId4"/>
    <sheet name="试用期综合评定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<sst xmlns="http://schemas.openxmlformats.org/spreadsheetml/2006/main" count="244" uniqueCount="172">
  <si>
    <t>试用期绩效考核表说明</t>
  </si>
  <si>
    <t>文件名称</t>
  </si>
  <si>
    <t>试用期绩效考核表（项目总监）.xlsx</t>
  </si>
  <si>
    <t>员工姓名</t>
  </si>
  <si>
    <t>一、说明</t>
  </si>
  <si>
    <t>本考核表所包含的全部内容（各工作表）均作为员工录用条件的重要组成部分。</t>
  </si>
  <si>
    <t>员工在入职时已充分阅读、理解并认可本考核表的所有条款和要求。</t>
  </si>
  <si>
    <t>二、考核表组成</t>
  </si>
  <si>
    <t>1. 月度考核表：针对月度工作的考核标准和要求</t>
  </si>
  <si>
    <t>2. 试用期综合评定表：明确考核结果与试用期转正、薪资调整等的关联规则</t>
  </si>
  <si>
    <t>三、签收确认</t>
  </si>
  <si>
    <t>员工确认：本人已收到并理解上述考核表内容，同意将其作为录用条件执行。</t>
  </si>
  <si>
    <t>员工签收：__________________________     日期：_2026___年____月___日</t>
  </si>
  <si>
    <t>试用期绩效考核表（第1个月）</t>
  </si>
  <si>
    <t>考核维度</t>
  </si>
  <si>
    <t>指标名称</t>
  </si>
  <si>
    <t>权重</t>
  </si>
  <si>
    <t>考核目标/标准</t>
  </si>
  <si>
    <t>具体评分规则</t>
  </si>
  <si>
    <t>考核依据</t>
  </si>
  <si>
    <t>自评分</t>
  </si>
  <si>
    <t>实际完成情况（事实举证）</t>
  </si>
  <si>
    <t>上级评分80%</t>
  </si>
  <si>
    <t>360度评分20%</t>
  </si>
  <si>
    <t>备注</t>
  </si>
  <si>
    <t>业务调研与规划设计</t>
  </si>
  <si>
    <t>校企教培业务现状调研与诊断</t>
  </si>
  <si>
    <t>1. 完成校企教培业务线全面调研，包括校企合作、社会培训、研学、赛事各业态现状、盈利模式、存在问题等；
2. 完成职业教育行业政策、新能源后市场及竞品机构调研，梳理至少2家对标企业的商业模式；
3. 输出业务现状诊断报告。</t>
  </si>
  <si>
    <t>1. 内部调研+外部对标均完成且报告质量高得15分；
2. 完成内部调研但外部对标不充分得10分；
3. 仅有初步调研且深度不足得5分；
4. 未开展得0分。</t>
  </si>
  <si>
    <t>校企教培业务现状调研报告；</t>
  </si>
  <si>
    <t>业务线发展规划与商业模式框架</t>
  </si>
  <si>
    <t>1. 基于调研结果，制定校企教培业务线中长短期发展规划，明确各业态发展目标、路径与节奏，与公司增值业务整体战略协同；
2. 完成校企合作、社会培训、研学、赛事各业态商业模式框架设计，包括盈利模式、核心资源、关键流程。</t>
  </si>
  <si>
    <t>1. 规划完整、商业模式清晰、路径可落地得20分；
2. 完成规划但商业模式较粗得15分；
3. 有框架但内容较浅得10分；
4. 未完成得0分。</t>
  </si>
  <si>
    <t>校企教培业务线发展规划；
各业态商业计划书（框架）</t>
  </si>
  <si>
    <t>产品体系框架设计</t>
  </si>
  <si>
    <t>1. 完成校企教培产品体系框架设计，包括共建实训基地、订单班、职业技能培训课程、研学产品包、赛事方案等核心产品；
2. 明确产品层级、定价策略、交付标准；
3. 识别重点优先发展的产品方向，制定产品迭代路线图。</t>
  </si>
  <si>
    <t>1. 产品体系完整、重点突出、路线清晰得15分；
2. 完成主要产品线但细节待完善得10分；
3. 仅有初步框架得5分；
4. 未开展得0分。</t>
  </si>
  <si>
    <t>产品体系规划文档；</t>
  </si>
  <si>
    <t>市场资源梳理与合作对接启动</t>
  </si>
  <si>
    <t>目标客户与合作资源梳理</t>
  </si>
  <si>
    <t>1. 完成目标职业院校、应用型本科、社会教培机构、行业协会等客户资源摸排，建立目标客户清单；
2. 梳理CATL校企及社培可调动资源，明确资源对接路径；
3. 启动至少5家重点客户/院校的初步对接与需求沟通。</t>
  </si>
  <si>
    <t>1. 客户清单完整、资源梳理清晰、初步对接启动得30分；
2. 完成客户清单但对接不充分得20分；
3. 仅有初步名单得10分；
4. 未开展得0分。</t>
  </si>
  <si>
    <t>目标客户清单；
客户拜访记录</t>
  </si>
  <si>
    <t>团队融入与协作</t>
  </si>
  <si>
    <t>团队融入</t>
  </si>
  <si>
    <t>1. 快速熟悉组织架构、业务模式、企业文化及团队成员；
2. 基本掌握在手工作事项与进展。</t>
  </si>
  <si>
    <t>1. 融入快、工作清晰、无遗漏得10分；
2. 基本了解工作得5分；
3. 融入较慢得2分；
4. 严重滞后得0分。</t>
  </si>
  <si>
    <t>团队反馈</t>
  </si>
  <si>
    <t>跨部门协作与沟通</t>
  </si>
  <si>
    <t>1. 主动与各核心协作部门建立沟通机制；
2. 协作顺畅，无因沟通导致的工作延误。</t>
  </si>
  <si>
    <t>1. 主动沟通、协作顺畅、反馈良好得10分；
2. 基本满足协作需求得5分；
3. 沟通被动或有轻微延误得2分；
4. 严重影响协作得0分。</t>
  </si>
  <si>
    <t>加减分数项</t>
  </si>
  <si>
    <t>/</t>
  </si>
  <si>
    <t>1.加分项：
  • 业务规划取得重大突破，超额完成调研目标；
  • 运用个人资源引入重要院校/机构合作意向；
  • 产品体系设计创新成效显著；
2.减分项：
  • 调研不深入导致规划方向偏差；
  • 因沟通不畅导致合作资源对接延误；
  • 团队融入严重滞后影响工作推进。</t>
  </si>
  <si>
    <t>1.加分项：每达成一项，根据成果价值加5-20分；
2.减分项：每发生一项，根据行为影响扣5-20分。</t>
  </si>
  <si>
    <t>工作成果记录；
处罚通知单；
其他明确依据。</t>
  </si>
  <si>
    <t>一票否决</t>
  </si>
  <si>
    <t>严重违纪：包括但不限于《奖惩管理制度》中的严重违纪行为，如：处理不当导致严重后果的重大经济损失、重大合规处罚、泄露商业秘密等</t>
  </si>
  <si>
    <t>出现任意项，则当月绩效总得分为0</t>
  </si>
  <si>
    <t>处罚通知单</t>
  </si>
  <si>
    <t>月度绩效总分</t>
  </si>
  <si>
    <t>自我评定总结、发展计划与工作建议：</t>
  </si>
  <si>
    <t>绩效沟通之上级主管建议：</t>
  </si>
  <si>
    <t>试用期绩效考核表（第2个月）</t>
  </si>
  <si>
    <t>业务推进与模式验证</t>
  </si>
  <si>
    <t>重点业务线商业模式验证推进</t>
  </si>
  <si>
    <t>1. 选择1-2条重点业务线（校企合作/社会培训/研学赛事），推进商业模式验证试点；
2. 完成商业模式核心假设的验证测试，收集签约、招生、收费等验证数据；
3. 输出阶段性验证报告，明确模式可行性与优化方向。</t>
  </si>
  <si>
    <t>1. 试点推进顺利、验证数据充分、结论清晰得20分；
2. 启动验证但进展偏慢得15分；
3. 仅做准备未实质推进得10分；
4. 未开展得0分。</t>
  </si>
  <si>
    <t>商业模式验证数据及阶段性报告</t>
  </si>
  <si>
    <t>产品体系搭建与标准化</t>
  </si>
  <si>
    <t>1. 完成核心产品线的产品体系搭建，包括产品手册、服务标准、交付流程、定价体系；
2. 至少完成2款核心产品的标准化设计与包装；
3. 建立产品迭代优化机制。</t>
  </si>
  <si>
    <t>1. 产品体系完整、标准化程度高得15分；
2. 完成主要产品但标准化待完善得10分；
3. 仅有部分产品文档得5分；
4. 未开展得0分。</t>
  </si>
  <si>
    <t>产品手册；
服务标准文档；
定价体系表</t>
  </si>
  <si>
    <t>新业务机会研究与储备</t>
  </si>
  <si>
    <t>1. 跟踪职业教育、新能源后市场、低空、机器人产业政策变化，识别至少1-2个潜在新业务方向（如机器人联合教培等）；
2. 完成新方向的初步可行性分析，包括市场规模、竞争格局、盈利前景；
3. 输出新业务机会研究报告。</t>
  </si>
  <si>
    <t>1. 研究深入、机会识别精准、可行性分析充分得10分；
2. 完成机会识别但可行性分析较浅得7分；
3. 仅有初步方向得3分；
4. 未开展得0分。</t>
  </si>
  <si>
    <t>新业务机会研究报告；</t>
  </si>
  <si>
    <t>合作拓展与业务落地</t>
  </si>
  <si>
    <t>院校/机构合作签约推进</t>
  </si>
  <si>
    <t>1. 推进目标院校、社会教培机构或中间渠道商的合作洽谈，完成至少1家合作协议签署；
2. 重点合作院校走访覆盖率≥80%。</t>
  </si>
  <si>
    <t>1. 签约≥1家且合作项目实质推进得20分；
2. 签约1家但项目未开展得15分；
3. 有明确意向在签约过程中得8分；
4. 未签约得0分。</t>
  </si>
  <si>
    <t>合作协议；
院校拜访记录；
项目启动文件</t>
  </si>
  <si>
    <t>首期培训/研学/赛事项目启动</t>
  </si>
  <si>
    <t>1. 至少启动1期社会培训班或研学营或技能赛事项目；
2. 完成招生宣传、教学组织、场地落实等筹备工作；
3. 首期项目按计划开营/开课。</t>
  </si>
  <si>
    <t>1. 首期项目按计划启动且招生达标得15分；
2. 启动但招生或筹备有瑕疵得10分；
3. 筹备中未启动得5分；
4. 未开展得0分。</t>
  </si>
  <si>
    <t>项目招生方案；
教学计划与课表；
项目启动记录</t>
  </si>
  <si>
    <t>团队管理与分工</t>
  </si>
  <si>
    <t>1. 完成项目经理、教务、讲师团队的初步组建与分工；
2. 明确各岗位职责与工作目标，建立基本管理机制。</t>
  </si>
  <si>
    <t>1. 团队组建完成、分工清晰、运转顺畅得10分；
2. 核心岗位到位但分工待优化得5分；
3. 团队搭建滞后得2分；
4. 未开展得0分。</t>
  </si>
  <si>
    <t>团队反馈；
组织分工</t>
  </si>
  <si>
    <t>跨部门协作效率</t>
  </si>
  <si>
    <t>1. 跨部门协同顺畅，主动推进协作事项；
2. 各核心协作部门满意度≥80%。</t>
  </si>
  <si>
    <t>1. 满意度≥85%且无延误得10分；
2. 满意度80-84%得5分；
3. 满意度＜80%或有延误得2分；
4. 严重影响协作得0分。</t>
  </si>
  <si>
    <t>1.加分项：
  • 商业模式验证取得重大突破，超额完成签约目标；
  • 运用个人资源引入重要合作伙伴或业务机会；
  • 首期项目超出预期成效；
2.减分项：
  • 合作推进不力导致项目延期；
  • 教学交付出现质量事故；
  • 跨部门协作严重不畅。</t>
  </si>
  <si>
    <t>试用期绩效考核表（第3个月）</t>
  </si>
  <si>
    <t>业务成果与营收达成</t>
  </si>
  <si>
    <t>重点业务合同落地与营收达成</t>
  </si>
  <si>
    <t>1. 至少1条业务线实现双印合同落地，形成稳定收入来源；
2. 合作院校/社培机构/中间渠道商累计签约≥2家。</t>
  </si>
  <si>
    <t>1. 合同签订≥2份且毛利率达标得30分；
2. 合同签订2份得20分；
3. 合同签订1份得10分；
4. 合同未签订得0分。</t>
  </si>
  <si>
    <t>双印合同；
营收数据台账</t>
  </si>
  <si>
    <t>产品体系完善与标准化覆盖率</t>
  </si>
  <si>
    <t>1. 完成至少1条业务线核心产品体系完善与标准化，产品标准化覆盖率≥80%；
2. 形成完整的产品手册、服务标准、交付流程；
3. 建立产品迭代优化机制。</t>
  </si>
  <si>
    <t>1. 产品体系完整、标准化程度高、机制健全得10分；
2. 基本完成但部分产品待完善得5分；
3. 标准化覆盖率不足得2分；
4. 未完成得0分。</t>
  </si>
  <si>
    <t>产品体系手册；
标准化文档；
产品迭代机制</t>
  </si>
  <si>
    <t>试用期工作复盘与下阶段规划</t>
  </si>
  <si>
    <t>1. 复盘试用期工作成果与不足，形成复盘报告；
2. 制定下阶段业务线发展规划与重点工作安排；
3. 明确各业态阶段性目标与关键里程碑。</t>
  </si>
  <si>
    <t>1. 复盘深入、规划清晰、目标明确得5分；
2. 基本完成但深度不足得4分；
3. 仅有简单总结得2分；
4. 未开展得0分。</t>
  </si>
  <si>
    <t>试用期工作复盘报告；
下阶段发展规划</t>
  </si>
  <si>
    <t>体系建设与团队组建</t>
  </si>
  <si>
    <t>教学交付体系与质量管控建成</t>
  </si>
  <si>
    <t>1. 教学交付中台基本建成，建立讲师准入、培训、考核、激励体系；
2. 建立听课评课、学员评教机制，教学质量可监控；
3. 学员满意度≥90%，教学责任事故零发生。</t>
  </si>
  <si>
    <t>1. 体系完整、质量管控有效、满意度达标得15分；
2. 基本建成但部分模块待优化得10分；
3. 核心模块缺失得5分；
4. 未完成体系建设得0分。</t>
  </si>
  <si>
    <t>教学管理制度；
讲师库与档案；
学员满意度报告</t>
  </si>
  <si>
    <t>团队组建与SOP体系完善</t>
  </si>
  <si>
    <t>1. 各岗位SOP基本建立，团队运转有序；
2. 团队文化初步形成，核心成员稳定。</t>
  </si>
  <si>
    <t>1. 团队SOP完整、运转顺畅得20分；
2. SOP待完善得15分；
3. SOP缺失得8分；
4. 未完成团队SOP搭建得0分。</t>
  </si>
  <si>
    <t>组织架构方案；
各岗位SOP文件</t>
  </si>
  <si>
    <t>团队建设与能力提升</t>
  </si>
  <si>
    <t>1. 团队成员职责清晰、目标明确；
2. 团队协作顺畅，员工满意度≥80分。</t>
  </si>
  <si>
    <t>1. 团队凝聚力强、满意度≥85分得10分；
2. 基本满意得5分；
3. 满意度偏低或有离职得2分；
4. 团队不稳定得0分。</t>
  </si>
  <si>
    <t>团队反馈；
员工满意度调查</t>
  </si>
  <si>
    <t>跨部门协作成果</t>
  </si>
  <si>
    <t>1.加分项：
  • 业务成果超出预期，超额完成营收目标；
  • 运用个人资源引入重要战略合作伙伴；
  • 团队建设或教学体系创新成效显著；
2.减分项：
  • 营收目标严重未达成；
  • 发生教学安全事故或重大客户投诉；
  • 核心员工流失影响业务推进。</t>
  </si>
  <si>
    <t>试用期综合评定表</t>
  </si>
  <si>
    <t>姓名</t>
  </si>
  <si>
    <t>__________</t>
  </si>
  <si>
    <t>部门</t>
  </si>
  <si>
    <t>增值业务与商点管理中心</t>
  </si>
  <si>
    <t>项目总监</t>
  </si>
  <si>
    <t>入职日期</t>
  </si>
  <si>
    <t>试用期</t>
  </si>
  <si>
    <t>三个月</t>
  </si>
  <si>
    <t>考核人</t>
  </si>
  <si>
    <t>总（副）总经理</t>
  </si>
  <si>
    <t>评定日期</t>
  </si>
  <si>
    <t>一、月度考核得分汇总</t>
  </si>
  <si>
    <t>考核月份</t>
  </si>
  <si>
    <t>月度得分</t>
  </si>
  <si>
    <t>加权得分</t>
  </si>
  <si>
    <t>第一个月</t>
  </si>
  <si>
    <t>侧重调研摸底与规划输出</t>
  </si>
  <si>
    <t>第二个月</t>
  </si>
  <si>
    <t>侧重合作拓展与模式验证</t>
  </si>
  <si>
    <t>第三个月</t>
  </si>
  <si>
    <t>侧重业务落地与体系成熟</t>
  </si>
  <si>
    <t>试用期综合得分</t>
  </si>
  <si>
    <t>二、考核等级与绩效结果运用</t>
  </si>
  <si>
    <t>考核等级</t>
  </si>
  <si>
    <t>得分区间</t>
  </si>
  <si>
    <t>转正建议</t>
  </si>
  <si>
    <t>说明</t>
  </si>
  <si>
    <t>评定结果（√）</t>
  </si>
  <si>
    <t>卓越A+</t>
  </si>
  <si>
    <t>S≥100</t>
  </si>
  <si>
    <t>提前转正</t>
  </si>
  <si>
    <t>绩效工资基数х1.5，表现远超预期</t>
  </si>
  <si>
    <t>优秀A</t>
  </si>
  <si>
    <t>90≤S˂100</t>
  </si>
  <si>
    <t>绩效工资基数х1.2，表现突出，超出岗位预期</t>
  </si>
  <si>
    <t>□</t>
  </si>
  <si>
    <t>好B</t>
  </si>
  <si>
    <t>80≤S˂90</t>
  </si>
  <si>
    <t>按期转正</t>
  </si>
  <si>
    <t>绩效工资基数х1，胜任岗位要求，符合转正条件</t>
  </si>
  <si>
    <t>良C</t>
  </si>
  <si>
    <t>70≤S˂80</t>
  </si>
  <si>
    <t>延长试用期或调整岗位</t>
  </si>
  <si>
    <t>绩效工资基数х0.5，胜任能力需再观察</t>
  </si>
  <si>
    <t>不合格D</t>
  </si>
  <si>
    <t>S˂70</t>
  </si>
  <si>
    <t>不予转正，解除劳动合同</t>
  </si>
  <si>
    <t>绩效工资为0，不胜任岗位要求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</si>
</sst>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sz val="11"/>
      <color rgb="FF000000"/>
      <name val="等线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2C3E5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/>
    <xf numFmtId="0" fontId="1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B14" sqref="B14"/>
    </sheetView>
  </sheetViews>
  <sheetFormatPr defaultColWidth="9" defaultRowHeight="13.85"/>
  <cols>
    <col min="1" max="1" width="12" customWidth="1"/>
    <col min="2" max="2" width="60" customWidth="1"/>
    <col min="3" max="20" width="9" customWidth="1"/>
  </cols>
  <sheetData>
    <row r="1" ht="35" customHeight="1" spans="1:20">
      <c r="A1" s="28" t="s">
        <v>0</v>
      </c>
      <c r="B1" s="29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ht="25" customHeight="1" spans="1:20">
      <c r="A2" s="30" t="s">
        <v>1</v>
      </c>
      <c r="B2" s="31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ht="22" customHeight="1" spans="1:20">
      <c r="A3" s="32" t="s">
        <v>3</v>
      </c>
      <c r="B3" s="3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22" customHeight="1" spans="1:20">
      <c r="A4" s="34"/>
      <c r="B4" s="3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46" customHeight="1" spans="1:20">
      <c r="A5" s="32" t="s">
        <v>4</v>
      </c>
      <c r="B5" s="35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22" customHeight="1" spans="1:20">
      <c r="A6" s="21"/>
      <c r="B6" s="34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ht="22" customHeight="1" spans="1:20">
      <c r="A7" s="34"/>
      <c r="B7" s="3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44" customHeight="1" spans="1:20">
      <c r="A8" s="32" t="s">
        <v>7</v>
      </c>
      <c r="B8" s="35" t="s">
        <v>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40" customHeight="1" spans="1:20">
      <c r="A9" s="21"/>
      <c r="B9" s="34" t="s">
        <v>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22" customHeight="1" spans="1:20">
      <c r="A10" s="34"/>
      <c r="B10" s="3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45" customHeight="1" spans="1:20">
      <c r="A11" s="32" t="s">
        <v>10</v>
      </c>
      <c r="B11" s="35" t="s">
        <v>11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ht="22" customHeight="1" spans="1:20">
      <c r="A12" s="36"/>
      <c r="B12" s="3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ht="16.9" customHeight="1" spans="1:20">
      <c r="A13" s="37" t="s">
        <v>12</v>
      </c>
      <c r="B13" s="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>
      <c r="A14" s="4"/>
      <c r="B14" s="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>
      <c r="A15" s="4"/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>
      <c r="A16" s="4"/>
      <c r="B16" s="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>
      <c r="A17" s="4"/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A18" s="4"/>
      <c r="B18" s="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>
      <c r="A19" s="4"/>
      <c r="B19" s="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>
      <c r="A20" s="4"/>
      <c r="B20" s="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s="4"/>
      <c r="B21" s="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>
      <c r="A22" s="4"/>
      <c r="B22" s="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4"/>
      <c r="B23" s="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>
      <c r="A24" s="4"/>
      <c r="B24" s="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>
      <c r="A25" s="4"/>
      <c r="B25" s="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>
      <c r="A26" s="4"/>
      <c r="B26" s="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>
      <c r="A27" s="4"/>
      <c r="B27" s="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>
      <c r="A28" s="4"/>
      <c r="B28" s="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>
      <c r="A29" s="4"/>
      <c r="B29" s="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>
      <c r="A30" s="4"/>
      <c r="B30" s="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4"/>
      <c r="B31" s="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>
      <c r="A32" s="4"/>
      <c r="B32" s="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4"/>
      <c r="B33" s="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4"/>
      <c r="B34" s="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>
      <c r="A35" s="4"/>
      <c r="B35" s="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>
      <c r="A36" s="4"/>
      <c r="B36" s="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>
      <c r="A37" s="4"/>
      <c r="B37" s="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>
      <c r="A38" s="4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>
      <c r="A39" s="4"/>
      <c r="B39" s="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>
      <c r="A40" s="4"/>
      <c r="B40" s="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>
      <c r="A41" s="4"/>
      <c r="B41" s="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>
      <c r="A42" s="4"/>
      <c r="B42" s="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>
      <c r="A43" s="4"/>
      <c r="B43" s="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>
      <c r="A44" s="4"/>
      <c r="B44" s="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>
      <c r="A45" s="4"/>
      <c r="B45" s="4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>
      <c r="A46" s="4"/>
      <c r="B46" s="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>
      <c r="A47" s="4"/>
      <c r="B47" s="4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>
      <c r="A48" s="4"/>
      <c r="B48" s="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>
      <c r="A49" s="4"/>
      <c r="B49" s="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4"/>
      <c r="B50" s="4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4"/>
      <c r="B51" s="4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4"/>
      <c r="B52" s="4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4"/>
      <c r="B53" s="4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4"/>
      <c r="B54" s="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4"/>
      <c r="B55" s="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4"/>
      <c r="B56" s="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4"/>
      <c r="B57" s="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4"/>
      <c r="B58" s="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4"/>
      <c r="B59" s="4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4"/>
      <c r="B60" s="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4"/>
      <c r="B61" s="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4"/>
      <c r="B62" s="4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4"/>
      <c r="B63" s="4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4"/>
      <c r="B64" s="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4"/>
      <c r="B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4"/>
      <c r="B66" s="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4"/>
      <c r="B67" s="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4"/>
      <c r="B68" s="4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4"/>
      <c r="B69" s="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4"/>
      <c r="B70" s="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>
      <c r="A71" s="4"/>
      <c r="B71" s="4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>
      <c r="A72" s="4"/>
      <c r="B72" s="4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>
      <c r="A73" s="4"/>
      <c r="B73" s="4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>
      <c r="A74" s="4"/>
      <c r="B74" s="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>
      <c r="A75" s="4"/>
      <c r="B75" s="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>
      <c r="A76" s="4"/>
      <c r="B76" s="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>
      <c r="A77" s="4"/>
      <c r="B77" s="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>
      <c r="A78" s="4"/>
      <c r="B78" s="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>
      <c r="A79" s="4"/>
      <c r="B79" s="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>
      <c r="A80" s="4"/>
      <c r="B80" s="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>
      <c r="A81" s="4"/>
      <c r="B81" s="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>
      <c r="A82" s="4"/>
      <c r="B82" s="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>
      <c r="A83" s="4"/>
      <c r="B83" s="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>
      <c r="A84" s="4"/>
      <c r="B84" s="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>
      <c r="A85" s="4"/>
      <c r="B85" s="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>
      <c r="A86" s="4"/>
      <c r="B86" s="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>
      <c r="A87" s="4"/>
      <c r="B87" s="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>
      <c r="A88" s="4"/>
      <c r="B88" s="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>
      <c r="A89" s="4"/>
      <c r="B89" s="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>
      <c r="A90" s="4"/>
      <c r="B90" s="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>
      <c r="A91" s="4"/>
      <c r="B91" s="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>
      <c r="A92" s="4"/>
      <c r="B92" s="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>
      <c r="A93" s="4"/>
      <c r="B93" s="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spans="1:20">
      <c r="A94" s="4"/>
      <c r="B94" s="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>
      <c r="A95" s="4"/>
      <c r="B95" s="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>
      <c r="A96" s="4"/>
      <c r="B96" s="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>
      <c r="A97" s="4"/>
      <c r="B97" s="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>
      <c r="A98" s="4"/>
      <c r="B98" s="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>
      <c r="A99" s="4"/>
      <c r="B99" s="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>
      <c r="A100" s="4"/>
      <c r="B100" s="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>
      <c r="A101" s="4"/>
      <c r="B101" s="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>
      <c r="A102" s="4"/>
      <c r="B102" s="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>
      <c r="A103" s="4"/>
      <c r="B103" s="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>
      <c r="A104" s="4"/>
      <c r="B104" s="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>
      <c r="A105" s="4"/>
      <c r="B105" s="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0">
      <c r="A106" s="4"/>
      <c r="B106" s="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>
      <c r="A107" s="4"/>
      <c r="B107" s="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>
      <c r="A108" s="4"/>
      <c r="B108" s="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>
      <c r="A109" s="4"/>
      <c r="B109" s="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>
      <c r="A110" s="4"/>
      <c r="B110" s="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>
      <c r="A111" s="4"/>
      <c r="B111" s="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>
      <c r="A112" s="4"/>
      <c r="B112" s="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spans="1:20">
      <c r="A113" s="4"/>
      <c r="B113" s="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spans="1:20">
      <c r="A114" s="4"/>
      <c r="B114" s="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spans="1:20">
      <c r="A115" s="4"/>
      <c r="B115" s="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spans="1:20">
      <c r="A116" s="4"/>
      <c r="B116" s="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1:20">
      <c r="A117" s="4"/>
      <c r="B117" s="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spans="1:20">
      <c r="A118" s="4"/>
      <c r="B118" s="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spans="1:20">
      <c r="A119" s="4"/>
      <c r="B119" s="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spans="1:20">
      <c r="A120" s="4"/>
      <c r="B120" s="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spans="1:20">
      <c r="A121" s="4"/>
      <c r="B121" s="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spans="1:20">
      <c r="A122" s="4"/>
      <c r="B122" s="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spans="1:20">
      <c r="A123" s="4"/>
      <c r="B123" s="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spans="1:20">
      <c r="A124" s="4"/>
      <c r="B124" s="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spans="1:20">
      <c r="A125" s="4"/>
      <c r="B125" s="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spans="1:20">
      <c r="A126" s="4"/>
      <c r="B126" s="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spans="1:20">
      <c r="A127" s="4"/>
      <c r="B127" s="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spans="1:20">
      <c r="A128" s="4"/>
      <c r="B128" s="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spans="1:20">
      <c r="A129" s="4"/>
      <c r="B129" s="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spans="1:20">
      <c r="A130" s="4"/>
      <c r="B130" s="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spans="1:20">
      <c r="A131" s="4"/>
      <c r="B131" s="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spans="1:20">
      <c r="A132" s="4"/>
      <c r="B132" s="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spans="1:20">
      <c r="A133" s="4"/>
      <c r="B133" s="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spans="1:20">
      <c r="A134" s="4"/>
      <c r="B134" s="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spans="1:20">
      <c r="A135" s="4"/>
      <c r="B135" s="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spans="1:20">
      <c r="A136" s="4"/>
      <c r="B136" s="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spans="1:20">
      <c r="A137" s="4"/>
      <c r="B137" s="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spans="1:20">
      <c r="A138" s="4"/>
      <c r="B138" s="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spans="1:20">
      <c r="A139" s="4"/>
      <c r="B139" s="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spans="1:20">
      <c r="A140" s="4"/>
      <c r="B140" s="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spans="1:20">
      <c r="A141" s="4"/>
      <c r="B141" s="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 spans="1:20">
      <c r="A142" s="4"/>
      <c r="B142" s="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spans="1:20">
      <c r="A143" s="4"/>
      <c r="B143" s="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spans="1:20">
      <c r="A144" s="4"/>
      <c r="B144" s="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spans="1:20">
      <c r="A145" s="4"/>
      <c r="B145" s="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>
      <c r="A146" s="4"/>
      <c r="B146" s="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 spans="1:20">
      <c r="A147" s="4"/>
      <c r="B147" s="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spans="1:20">
      <c r="A148" s="4"/>
      <c r="B148" s="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spans="1:20">
      <c r="A149" s="4"/>
      <c r="B149" s="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spans="1:20">
      <c r="A150" s="4"/>
      <c r="B150" s="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spans="1:20">
      <c r="A151" s="4"/>
      <c r="B151" s="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spans="1:20">
      <c r="A152" s="4"/>
      <c r="B152" s="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 spans="1:20">
      <c r="A153" s="4"/>
      <c r="B153" s="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spans="1:20">
      <c r="A154" s="4"/>
      <c r="B154" s="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spans="1:20">
      <c r="A155" s="4"/>
      <c r="B155" s="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spans="1:20">
      <c r="A156" s="4"/>
      <c r="B156" s="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spans="1:20">
      <c r="A157" s="4"/>
      <c r="B157" s="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spans="1:20">
      <c r="A158" s="4"/>
      <c r="B158" s="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 spans="1:20">
      <c r="A159" s="4"/>
      <c r="B159" s="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spans="1:20">
      <c r="A160" s="4"/>
      <c r="B160" s="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spans="1:20">
      <c r="A161" s="4"/>
      <c r="B161" s="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spans="1:20">
      <c r="A162" s="4"/>
      <c r="B162" s="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spans="1:20">
      <c r="A163" s="4"/>
      <c r="B163" s="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spans="1:20">
      <c r="A164" s="4"/>
      <c r="B164" s="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spans="1:20">
      <c r="A165" s="4"/>
      <c r="B165" s="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spans="1:20">
      <c r="A166" s="4"/>
      <c r="B166" s="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 spans="1:20">
      <c r="A167" s="4"/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spans="1:20">
      <c r="A168" s="4"/>
      <c r="B168" s="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spans="1:20">
      <c r="A169" s="4"/>
      <c r="B169" s="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spans="1:20">
      <c r="A170" s="4"/>
      <c r="B170" s="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spans="1:20">
      <c r="A171" s="4"/>
      <c r="B171" s="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 spans="1:20">
      <c r="A172" s="4"/>
      <c r="B172" s="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spans="1:20">
      <c r="A173" s="4"/>
      <c r="B173" s="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spans="1:20">
      <c r="A174" s="4"/>
      <c r="B174" s="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spans="1:20">
      <c r="A175" s="4"/>
      <c r="B175" s="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 spans="1:20">
      <c r="A176" s="4"/>
      <c r="B176" s="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spans="1:20">
      <c r="A177" s="4"/>
      <c r="B177" s="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spans="1:20">
      <c r="A178" s="4"/>
      <c r="B178" s="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spans="1:20">
      <c r="A179" s="4"/>
      <c r="B179" s="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spans="1:20">
      <c r="A180" s="4"/>
      <c r="B180" s="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spans="1:20">
      <c r="A181" s="4"/>
      <c r="B181" s="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spans="1:20">
      <c r="A182" s="4"/>
      <c r="B182" s="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 spans="1:20">
      <c r="A183" s="4"/>
      <c r="B183" s="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 spans="1:20">
      <c r="A184" s="4"/>
      <c r="B184" s="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 spans="1:20">
      <c r="A185" s="4"/>
      <c r="B185" s="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 spans="1:20">
      <c r="A186" s="4"/>
      <c r="B186" s="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 spans="1:20">
      <c r="A187" s="4"/>
      <c r="B187" s="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 spans="1:20">
      <c r="A188" s="4"/>
      <c r="B188" s="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 spans="1:20">
      <c r="A189" s="4"/>
      <c r="B189" s="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 spans="1:20">
      <c r="A190" s="4"/>
      <c r="B190" s="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spans="1:20">
      <c r="A191" s="4"/>
      <c r="B191" s="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 spans="1:20">
      <c r="A192" s="4"/>
      <c r="B192" s="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 spans="1:20">
      <c r="A193" s="4"/>
      <c r="B193" s="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 spans="1:20">
      <c r="A194" s="4"/>
      <c r="B194" s="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 spans="1:20">
      <c r="A195" s="4"/>
      <c r="B195" s="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 spans="1:20">
      <c r="A196" s="4"/>
      <c r="B196" s="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 spans="1:20">
      <c r="A197" s="4"/>
      <c r="B197" s="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 spans="1:20">
      <c r="A198" s="4"/>
      <c r="B198" s="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 spans="1:20">
      <c r="A199" s="4"/>
      <c r="B199" s="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 spans="1:20">
      <c r="A200" s="4"/>
      <c r="B200" s="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</sheetData>
  <mergeCells count="4">
    <mergeCell ref="A1:B1"/>
    <mergeCell ref="A13:B13"/>
    <mergeCell ref="A5:A6"/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E9" sqref="E9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0" customWidth="1"/>
    <col min="7" max="7" width="12.0530973451327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20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</row>
    <row r="2" ht="40" customHeight="1" spans="1:20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3" t="s">
        <v>23</v>
      </c>
      <c r="K2" s="13" t="s">
        <v>21</v>
      </c>
      <c r="L2" s="13" t="s">
        <v>24</v>
      </c>
      <c r="M2" s="4"/>
      <c r="N2" s="4"/>
      <c r="O2" s="4"/>
      <c r="P2" s="4"/>
      <c r="Q2" s="4"/>
      <c r="R2" s="4"/>
      <c r="S2" s="4"/>
      <c r="T2" s="4"/>
    </row>
    <row r="3" ht="101" customHeight="1" spans="1:20">
      <c r="A3" s="9" t="s">
        <v>25</v>
      </c>
      <c r="B3" s="14" t="s">
        <v>26</v>
      </c>
      <c r="C3" s="15">
        <v>0.15</v>
      </c>
      <c r="D3" s="18" t="s">
        <v>27</v>
      </c>
      <c r="E3" s="18" t="s">
        <v>28</v>
      </c>
      <c r="F3" s="18" t="s">
        <v>29</v>
      </c>
      <c r="G3" s="6"/>
      <c r="H3" s="19"/>
      <c r="I3" s="6"/>
      <c r="J3" s="6"/>
      <c r="K3" s="19"/>
      <c r="L3" s="6"/>
      <c r="M3" s="4"/>
      <c r="N3" s="4"/>
      <c r="O3" s="4"/>
      <c r="P3" s="4"/>
      <c r="Q3" s="4"/>
      <c r="R3" s="4"/>
      <c r="S3" s="4"/>
      <c r="T3" s="4"/>
    </row>
    <row r="4" ht="88" customHeight="1" spans="1:20">
      <c r="A4" s="20"/>
      <c r="B4" s="14" t="s">
        <v>30</v>
      </c>
      <c r="C4" s="15">
        <v>0.2</v>
      </c>
      <c r="D4" s="18" t="s">
        <v>31</v>
      </c>
      <c r="E4" s="18" t="s">
        <v>32</v>
      </c>
      <c r="F4" s="18" t="s">
        <v>33</v>
      </c>
      <c r="G4" s="6"/>
      <c r="H4" s="19"/>
      <c r="I4" s="6"/>
      <c r="J4" s="6"/>
      <c r="K4" s="19"/>
      <c r="L4" s="6"/>
      <c r="M4" s="4"/>
      <c r="N4" s="4"/>
      <c r="O4" s="4"/>
      <c r="P4" s="4"/>
      <c r="Q4" s="4"/>
      <c r="R4" s="4"/>
      <c r="S4" s="4"/>
      <c r="T4" s="4"/>
    </row>
    <row r="5" ht="84" customHeight="1" spans="1:20">
      <c r="A5" s="21"/>
      <c r="B5" s="14" t="s">
        <v>34</v>
      </c>
      <c r="C5" s="15">
        <v>0.15</v>
      </c>
      <c r="D5" s="18" t="s">
        <v>35</v>
      </c>
      <c r="E5" s="18" t="s">
        <v>36</v>
      </c>
      <c r="F5" s="18" t="s">
        <v>37</v>
      </c>
      <c r="G5" s="6"/>
      <c r="H5" s="19"/>
      <c r="I5" s="6"/>
      <c r="J5" s="6"/>
      <c r="K5" s="19"/>
      <c r="L5" s="6"/>
      <c r="M5" s="4"/>
      <c r="N5" s="4"/>
      <c r="O5" s="4"/>
      <c r="P5" s="4"/>
      <c r="Q5" s="4"/>
      <c r="R5" s="4"/>
      <c r="S5" s="4"/>
      <c r="T5" s="4"/>
    </row>
    <row r="6" ht="72" customHeight="1" spans="1:20">
      <c r="A6" s="26" t="s">
        <v>38</v>
      </c>
      <c r="B6" s="14" t="s">
        <v>39</v>
      </c>
      <c r="C6" s="15">
        <v>0.3</v>
      </c>
      <c r="D6" s="18" t="s">
        <v>40</v>
      </c>
      <c r="E6" s="18" t="s">
        <v>41</v>
      </c>
      <c r="F6" s="18" t="s">
        <v>42</v>
      </c>
      <c r="G6" s="6"/>
      <c r="H6" s="19"/>
      <c r="I6" s="6"/>
      <c r="J6" s="6"/>
      <c r="K6" s="19"/>
      <c r="L6" s="6"/>
      <c r="M6" s="4"/>
      <c r="N6" s="4"/>
      <c r="O6" s="4"/>
      <c r="P6" s="4"/>
      <c r="Q6" s="4"/>
      <c r="R6" s="4"/>
      <c r="S6" s="4"/>
      <c r="T6" s="4"/>
    </row>
    <row r="7" ht="72" customHeight="1" spans="1:20">
      <c r="A7" s="9" t="s">
        <v>43</v>
      </c>
      <c r="B7" s="14" t="s">
        <v>44</v>
      </c>
      <c r="C7" s="15">
        <v>0.1</v>
      </c>
      <c r="D7" s="18" t="s">
        <v>45</v>
      </c>
      <c r="E7" s="18" t="s">
        <v>46</v>
      </c>
      <c r="F7" s="18" t="s">
        <v>47</v>
      </c>
      <c r="G7" s="6"/>
      <c r="H7" s="19"/>
      <c r="I7" s="6"/>
      <c r="J7" s="6"/>
      <c r="K7" s="19"/>
      <c r="L7" s="6"/>
      <c r="M7" s="4"/>
      <c r="N7" s="4"/>
      <c r="O7" s="4"/>
      <c r="P7" s="4"/>
      <c r="Q7" s="4"/>
      <c r="R7" s="4"/>
      <c r="S7" s="4"/>
      <c r="T7" s="4"/>
    </row>
    <row r="8" ht="72" customHeight="1" spans="1:20">
      <c r="A8" s="21"/>
      <c r="B8" s="14" t="s">
        <v>48</v>
      </c>
      <c r="C8" s="15">
        <v>0.1</v>
      </c>
      <c r="D8" s="18" t="s">
        <v>49</v>
      </c>
      <c r="E8" s="18" t="s">
        <v>50</v>
      </c>
      <c r="F8" s="21"/>
      <c r="G8" s="6"/>
      <c r="H8" s="19"/>
      <c r="I8" s="6"/>
      <c r="J8" s="6"/>
      <c r="K8" s="19"/>
      <c r="L8" s="6"/>
      <c r="M8" s="4"/>
      <c r="N8" s="4"/>
      <c r="O8" s="4"/>
      <c r="P8" s="4"/>
      <c r="Q8" s="4"/>
      <c r="R8" s="4"/>
      <c r="S8" s="4"/>
      <c r="T8" s="4"/>
    </row>
    <row r="9" ht="180" customHeight="1" spans="1:20">
      <c r="A9" s="9" t="s">
        <v>51</v>
      </c>
      <c r="B9" s="3"/>
      <c r="C9" s="22" t="s">
        <v>52</v>
      </c>
      <c r="D9" s="18" t="s">
        <v>53</v>
      </c>
      <c r="E9" s="18" t="s">
        <v>54</v>
      </c>
      <c r="F9" s="18" t="s">
        <v>55</v>
      </c>
      <c r="G9" s="10"/>
      <c r="H9" s="10"/>
      <c r="I9" s="6">
        <v>0</v>
      </c>
      <c r="J9" s="6" t="s">
        <v>52</v>
      </c>
      <c r="K9" s="10"/>
      <c r="L9" s="10"/>
      <c r="M9" s="4"/>
      <c r="N9" s="4"/>
      <c r="O9" s="4"/>
      <c r="P9" s="4"/>
      <c r="Q9" s="4"/>
      <c r="R9" s="4"/>
      <c r="S9" s="4"/>
      <c r="T9" s="4"/>
    </row>
    <row r="10" ht="60" customHeight="1" spans="1:20">
      <c r="A10" s="9" t="s">
        <v>56</v>
      </c>
      <c r="B10" s="3"/>
      <c r="C10" s="22" t="s">
        <v>52</v>
      </c>
      <c r="D10" s="18" t="s">
        <v>57</v>
      </c>
      <c r="E10" s="18" t="s">
        <v>58</v>
      </c>
      <c r="F10" s="18" t="s">
        <v>59</v>
      </c>
      <c r="G10" s="10"/>
      <c r="H10" s="10"/>
      <c r="I10" s="6" t="s">
        <v>52</v>
      </c>
      <c r="J10" s="6" t="s">
        <v>52</v>
      </c>
      <c r="K10" s="10"/>
      <c r="L10" s="10"/>
      <c r="M10" s="4"/>
      <c r="N10" s="4"/>
      <c r="O10" s="4"/>
      <c r="P10" s="4"/>
      <c r="Q10" s="4"/>
      <c r="R10" s="4"/>
      <c r="S10" s="4"/>
      <c r="T10" s="4"/>
    </row>
    <row r="11" ht="30" customHeight="1" spans="1:20">
      <c r="A11" s="23" t="s">
        <v>60</v>
      </c>
      <c r="B11" s="2"/>
      <c r="C11" s="3"/>
      <c r="D11" s="23">
        <f>SUM(I3:I8)*0.8+SUM(J3:J8)*0.2+I9</f>
        <v>0</v>
      </c>
      <c r="E11" s="24"/>
      <c r="F11" s="24"/>
      <c r="G11" s="27">
        <f>G3+G4+G5+G6+G7+G8</f>
        <v>0</v>
      </c>
      <c r="H11" s="27"/>
      <c r="I11" s="27">
        <f>I3+I4+I5+I6+I7+I8</f>
        <v>0</v>
      </c>
      <c r="J11" s="27">
        <f>J3+J4+J5+J6+J7+J8</f>
        <v>0</v>
      </c>
      <c r="K11" s="24"/>
      <c r="L11" s="24"/>
      <c r="M11" s="4"/>
      <c r="N11" s="4"/>
      <c r="O11" s="4"/>
      <c r="P11" s="4"/>
      <c r="Q11" s="4"/>
      <c r="R11" s="4"/>
      <c r="S11" s="4"/>
      <c r="T11" s="4"/>
    </row>
    <row r="12" ht="25" customHeight="1" spans="1:20">
      <c r="A12" s="25" t="s">
        <v>61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"/>
      <c r="N12" s="4"/>
      <c r="O12" s="4"/>
      <c r="P12" s="4"/>
      <c r="Q12" s="4"/>
      <c r="R12" s="4"/>
      <c r="S12" s="4"/>
      <c r="T12" s="4"/>
    </row>
    <row r="13" ht="25" customHeight="1" spans="1:20">
      <c r="A13" s="10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  <c r="N13" s="4"/>
      <c r="O13" s="4"/>
      <c r="P13" s="4"/>
      <c r="Q13" s="4"/>
      <c r="R13" s="4"/>
      <c r="S13" s="4"/>
      <c r="T13" s="4"/>
    </row>
    <row r="14" ht="25" customHeight="1" spans="1:20">
      <c r="A14" s="25" t="s">
        <v>62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  <c r="N14" s="4"/>
      <c r="O14" s="4"/>
      <c r="P14" s="4"/>
      <c r="Q14" s="4"/>
      <c r="R14" s="4"/>
      <c r="S14" s="4"/>
      <c r="T14" s="4"/>
    </row>
    <row r="15" ht="25" customHeight="1" spans="1:20">
      <c r="A15" s="10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4"/>
      <c r="N15" s="4"/>
      <c r="O15" s="4"/>
      <c r="P15" s="4"/>
      <c r="Q15" s="4"/>
      <c r="R15" s="4"/>
      <c r="S15" s="4"/>
      <c r="T15" s="4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</sheetData>
  <mergeCells count="11">
    <mergeCell ref="A1:L1"/>
    <mergeCell ref="A9:B9"/>
    <mergeCell ref="A10:B10"/>
    <mergeCell ref="A11:C11"/>
    <mergeCell ref="A12:L12"/>
    <mergeCell ref="A13:L13"/>
    <mergeCell ref="A14:L14"/>
    <mergeCell ref="A15:L15"/>
    <mergeCell ref="A3:A5"/>
    <mergeCell ref="A7:A8"/>
    <mergeCell ref="F7:F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D6" sqref="D6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0" customWidth="1"/>
    <col min="7" max="7" width="8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20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</row>
    <row r="2" ht="40" customHeight="1" spans="1:20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3" t="s">
        <v>23</v>
      </c>
      <c r="K2" s="13" t="s">
        <v>21</v>
      </c>
      <c r="L2" s="13" t="s">
        <v>24</v>
      </c>
      <c r="M2" s="4"/>
      <c r="N2" s="4"/>
      <c r="O2" s="4"/>
      <c r="P2" s="4"/>
      <c r="Q2" s="4"/>
      <c r="R2" s="4"/>
      <c r="S2" s="4"/>
      <c r="T2" s="4"/>
    </row>
    <row r="3" ht="97" customHeight="1" spans="1:20">
      <c r="A3" s="9" t="s">
        <v>64</v>
      </c>
      <c r="B3" s="14" t="s">
        <v>65</v>
      </c>
      <c r="C3" s="15">
        <v>0.2</v>
      </c>
      <c r="D3" s="18" t="s">
        <v>66</v>
      </c>
      <c r="E3" s="18" t="s">
        <v>67</v>
      </c>
      <c r="F3" s="18" t="s">
        <v>68</v>
      </c>
      <c r="G3" s="6"/>
      <c r="H3" s="19"/>
      <c r="I3" s="6"/>
      <c r="J3" s="6"/>
      <c r="K3" s="19"/>
      <c r="L3" s="6"/>
      <c r="M3" s="4"/>
      <c r="N3" s="4"/>
      <c r="O3" s="4"/>
      <c r="P3" s="4"/>
      <c r="Q3" s="4"/>
      <c r="R3" s="4"/>
      <c r="S3" s="4"/>
      <c r="T3" s="4"/>
    </row>
    <row r="4" ht="72" customHeight="1" spans="1:20">
      <c r="A4" s="20"/>
      <c r="B4" s="14" t="s">
        <v>69</v>
      </c>
      <c r="C4" s="15">
        <v>0.15</v>
      </c>
      <c r="D4" s="18" t="s">
        <v>70</v>
      </c>
      <c r="E4" s="18" t="s">
        <v>71</v>
      </c>
      <c r="F4" s="18" t="s">
        <v>72</v>
      </c>
      <c r="G4" s="6"/>
      <c r="H4" s="19"/>
      <c r="I4" s="6"/>
      <c r="J4" s="6"/>
      <c r="K4" s="19"/>
      <c r="L4" s="6"/>
      <c r="M4" s="4"/>
      <c r="N4" s="4"/>
      <c r="O4" s="4"/>
      <c r="P4" s="4"/>
      <c r="Q4" s="4"/>
      <c r="R4" s="4"/>
      <c r="S4" s="4"/>
      <c r="T4" s="4"/>
    </row>
    <row r="5" ht="94" customHeight="1" spans="1:20">
      <c r="A5" s="21"/>
      <c r="B5" s="14" t="s">
        <v>73</v>
      </c>
      <c r="C5" s="15">
        <v>0.1</v>
      </c>
      <c r="D5" s="18" t="s">
        <v>74</v>
      </c>
      <c r="E5" s="18" t="s">
        <v>75</v>
      </c>
      <c r="F5" s="18" t="s">
        <v>76</v>
      </c>
      <c r="G5" s="6"/>
      <c r="H5" s="19"/>
      <c r="I5" s="6"/>
      <c r="J5" s="6"/>
      <c r="K5" s="19"/>
      <c r="L5" s="6"/>
      <c r="M5" s="4"/>
      <c r="N5" s="4"/>
      <c r="O5" s="4"/>
      <c r="P5" s="4"/>
      <c r="Q5" s="4"/>
      <c r="R5" s="4"/>
      <c r="S5" s="4"/>
      <c r="T5" s="4"/>
    </row>
    <row r="6" ht="72" customHeight="1" spans="1:20">
      <c r="A6" s="9" t="s">
        <v>77</v>
      </c>
      <c r="B6" s="14" t="s">
        <v>78</v>
      </c>
      <c r="C6" s="15">
        <v>0.2</v>
      </c>
      <c r="D6" s="18" t="s">
        <v>79</v>
      </c>
      <c r="E6" s="18" t="s">
        <v>80</v>
      </c>
      <c r="F6" s="18" t="s">
        <v>81</v>
      </c>
      <c r="G6" s="6"/>
      <c r="H6" s="19"/>
      <c r="I6" s="6"/>
      <c r="J6" s="6"/>
      <c r="K6" s="19"/>
      <c r="L6" s="6"/>
      <c r="M6" s="4"/>
      <c r="N6" s="4"/>
      <c r="O6" s="4"/>
      <c r="P6" s="4"/>
      <c r="Q6" s="4"/>
      <c r="R6" s="4"/>
      <c r="S6" s="4"/>
      <c r="T6" s="4"/>
    </row>
    <row r="7" ht="72" customHeight="1" spans="1:20">
      <c r="A7" s="21"/>
      <c r="B7" s="14" t="s">
        <v>82</v>
      </c>
      <c r="C7" s="15">
        <v>0.15</v>
      </c>
      <c r="D7" s="18" t="s">
        <v>83</v>
      </c>
      <c r="E7" s="18" t="s">
        <v>84</v>
      </c>
      <c r="F7" s="18" t="s">
        <v>85</v>
      </c>
      <c r="G7" s="6"/>
      <c r="H7" s="19"/>
      <c r="I7" s="6"/>
      <c r="J7" s="6"/>
      <c r="K7" s="19"/>
      <c r="L7" s="6"/>
      <c r="M7" s="4"/>
      <c r="N7" s="4"/>
      <c r="O7" s="4"/>
      <c r="P7" s="4"/>
      <c r="Q7" s="4"/>
      <c r="R7" s="4"/>
      <c r="S7" s="4"/>
      <c r="T7" s="4"/>
    </row>
    <row r="8" ht="72" customHeight="1" spans="1:20">
      <c r="A8" s="9" t="s">
        <v>43</v>
      </c>
      <c r="B8" s="14" t="s">
        <v>86</v>
      </c>
      <c r="C8" s="15">
        <v>0.1</v>
      </c>
      <c r="D8" s="18" t="s">
        <v>87</v>
      </c>
      <c r="E8" s="18" t="s">
        <v>88</v>
      </c>
      <c r="F8" s="18" t="s">
        <v>89</v>
      </c>
      <c r="G8" s="6"/>
      <c r="H8" s="19"/>
      <c r="I8" s="6"/>
      <c r="J8" s="6"/>
      <c r="K8" s="19"/>
      <c r="L8" s="6"/>
      <c r="M8" s="4"/>
      <c r="N8" s="4"/>
      <c r="O8" s="4"/>
      <c r="P8" s="4"/>
      <c r="Q8" s="4"/>
      <c r="R8" s="4"/>
      <c r="S8" s="4"/>
      <c r="T8" s="4"/>
    </row>
    <row r="9" ht="72" customHeight="1" spans="1:20">
      <c r="A9" s="21"/>
      <c r="B9" s="14" t="s">
        <v>90</v>
      </c>
      <c r="C9" s="15">
        <v>0.1</v>
      </c>
      <c r="D9" s="18" t="s">
        <v>91</v>
      </c>
      <c r="E9" s="18" t="s">
        <v>92</v>
      </c>
      <c r="F9" s="21"/>
      <c r="G9" s="6"/>
      <c r="H9" s="19"/>
      <c r="I9" s="6"/>
      <c r="J9" s="6"/>
      <c r="K9" s="19"/>
      <c r="L9" s="6"/>
      <c r="M9" s="4"/>
      <c r="N9" s="4"/>
      <c r="O9" s="4"/>
      <c r="P9" s="4"/>
      <c r="Q9" s="4"/>
      <c r="R9" s="4"/>
      <c r="S9" s="4"/>
      <c r="T9" s="4"/>
    </row>
    <row r="10" ht="180" customHeight="1" spans="1:20">
      <c r="A10" s="9" t="s">
        <v>51</v>
      </c>
      <c r="B10" s="3"/>
      <c r="C10" s="22" t="s">
        <v>52</v>
      </c>
      <c r="D10" s="18" t="s">
        <v>93</v>
      </c>
      <c r="E10" s="18" t="s">
        <v>54</v>
      </c>
      <c r="F10" s="18" t="s">
        <v>55</v>
      </c>
      <c r="G10" s="10"/>
      <c r="H10" s="10"/>
      <c r="I10" s="6">
        <v>0</v>
      </c>
      <c r="J10" s="6" t="s">
        <v>52</v>
      </c>
      <c r="K10" s="10"/>
      <c r="L10" s="10"/>
      <c r="M10" s="4"/>
      <c r="N10" s="4"/>
      <c r="O10" s="4"/>
      <c r="P10" s="4"/>
      <c r="Q10" s="4"/>
      <c r="R10" s="4"/>
      <c r="S10" s="4"/>
      <c r="T10" s="4"/>
    </row>
    <row r="11" ht="60" customHeight="1" spans="1:20">
      <c r="A11" s="9" t="s">
        <v>56</v>
      </c>
      <c r="B11" s="3"/>
      <c r="C11" s="22" t="s">
        <v>52</v>
      </c>
      <c r="D11" s="18" t="s">
        <v>57</v>
      </c>
      <c r="E11" s="18" t="s">
        <v>58</v>
      </c>
      <c r="F11" s="18" t="s">
        <v>59</v>
      </c>
      <c r="G11" s="10"/>
      <c r="H11" s="10"/>
      <c r="I11" s="6" t="s">
        <v>52</v>
      </c>
      <c r="J11" s="6" t="s">
        <v>52</v>
      </c>
      <c r="K11" s="10"/>
      <c r="L11" s="10"/>
      <c r="M11" s="4"/>
      <c r="N11" s="4"/>
      <c r="O11" s="4"/>
      <c r="P11" s="4"/>
      <c r="Q11" s="4"/>
      <c r="R11" s="4"/>
      <c r="S11" s="4"/>
      <c r="T11" s="4"/>
    </row>
    <row r="12" ht="30" customHeight="1" spans="1:20">
      <c r="A12" s="23" t="s">
        <v>60</v>
      </c>
      <c r="B12" s="2"/>
      <c r="C12" s="3"/>
      <c r="D12" s="23">
        <f>SUM(I3:I9)*0.8+SUM(J3:J9)*0.2+I10</f>
        <v>0</v>
      </c>
      <c r="E12" s="24"/>
      <c r="F12" s="24"/>
      <c r="G12" s="24"/>
      <c r="H12" s="24"/>
      <c r="I12" s="24"/>
      <c r="J12" s="24"/>
      <c r="K12" s="24"/>
      <c r="L12" s="24"/>
      <c r="M12" s="4"/>
      <c r="N12" s="4"/>
      <c r="O12" s="4"/>
      <c r="P12" s="4"/>
      <c r="Q12" s="4"/>
      <c r="R12" s="4"/>
      <c r="S12" s="4"/>
      <c r="T12" s="4"/>
    </row>
    <row r="13" ht="25" customHeight="1" spans="1:20">
      <c r="A13" s="25" t="s">
        <v>61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  <c r="N13" s="4"/>
      <c r="O13" s="4"/>
      <c r="P13" s="4"/>
      <c r="Q13" s="4"/>
      <c r="R13" s="4"/>
      <c r="S13" s="4"/>
      <c r="T13" s="4"/>
    </row>
    <row r="14" ht="25" customHeight="1" spans="1:20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  <c r="N14" s="4"/>
      <c r="O14" s="4"/>
      <c r="P14" s="4"/>
      <c r="Q14" s="4"/>
      <c r="R14" s="4"/>
      <c r="S14" s="4"/>
      <c r="T14" s="4"/>
    </row>
    <row r="15" ht="25" customHeight="1" spans="1:20">
      <c r="A15" s="25" t="s">
        <v>62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4"/>
      <c r="N15" s="4"/>
      <c r="O15" s="4"/>
      <c r="P15" s="4"/>
      <c r="Q15" s="4"/>
      <c r="R15" s="4"/>
      <c r="S15" s="4"/>
      <c r="T15" s="4"/>
    </row>
    <row r="16" ht="25" customHeight="1" spans="1:20">
      <c r="A16" s="10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/>
      <c r="N16" s="4"/>
      <c r="O16" s="4"/>
      <c r="P16" s="4"/>
      <c r="Q16" s="4"/>
      <c r="R16" s="4"/>
      <c r="S16" s="4"/>
      <c r="T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</sheetData>
  <mergeCells count="12">
    <mergeCell ref="A1:L1"/>
    <mergeCell ref="A10:B10"/>
    <mergeCell ref="A11:B11"/>
    <mergeCell ref="A12:C12"/>
    <mergeCell ref="A13:L13"/>
    <mergeCell ref="A14:L14"/>
    <mergeCell ref="A15:L15"/>
    <mergeCell ref="A16:L16"/>
    <mergeCell ref="A3:A5"/>
    <mergeCell ref="A6:A7"/>
    <mergeCell ref="A8:A9"/>
    <mergeCell ref="F8:F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D5" sqref="D5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7.6194690265487" customWidth="1"/>
    <col min="6" max="6" width="20" customWidth="1"/>
    <col min="7" max="7" width="8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20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</row>
    <row r="2" ht="40" customHeight="1" spans="1:20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3" t="s">
        <v>23</v>
      </c>
      <c r="K2" s="13" t="s">
        <v>21</v>
      </c>
      <c r="L2" s="13" t="s">
        <v>24</v>
      </c>
      <c r="M2" s="4"/>
      <c r="N2" s="4"/>
      <c r="O2" s="4"/>
      <c r="P2" s="4"/>
      <c r="Q2" s="4"/>
      <c r="R2" s="4"/>
      <c r="S2" s="4"/>
      <c r="T2" s="4"/>
    </row>
    <row r="3" ht="74" customHeight="1" spans="1:20">
      <c r="A3" s="9" t="s">
        <v>95</v>
      </c>
      <c r="B3" s="14" t="s">
        <v>96</v>
      </c>
      <c r="C3" s="15">
        <v>0.3</v>
      </c>
      <c r="D3" s="16" t="s">
        <v>97</v>
      </c>
      <c r="E3" s="17" t="s">
        <v>98</v>
      </c>
      <c r="F3" s="18" t="s">
        <v>99</v>
      </c>
      <c r="G3" s="6"/>
      <c r="H3" s="19"/>
      <c r="I3" s="6"/>
      <c r="J3" s="6"/>
      <c r="K3" s="19"/>
      <c r="L3" s="6"/>
      <c r="M3" s="4"/>
      <c r="N3" s="4"/>
      <c r="O3" s="4"/>
      <c r="P3" s="4"/>
      <c r="Q3" s="4"/>
      <c r="R3" s="4"/>
      <c r="S3" s="4"/>
      <c r="T3" s="4"/>
    </row>
    <row r="4" ht="72" customHeight="1" spans="1:20">
      <c r="A4" s="20"/>
      <c r="B4" s="14" t="s">
        <v>100</v>
      </c>
      <c r="C4" s="15">
        <v>0.1</v>
      </c>
      <c r="D4" s="18" t="s">
        <v>101</v>
      </c>
      <c r="E4" s="18" t="s">
        <v>102</v>
      </c>
      <c r="F4" s="18" t="s">
        <v>103</v>
      </c>
      <c r="G4" s="6"/>
      <c r="H4" s="19"/>
      <c r="I4" s="6"/>
      <c r="J4" s="6"/>
      <c r="K4" s="19"/>
      <c r="L4" s="6"/>
      <c r="M4" s="4"/>
      <c r="N4" s="4"/>
      <c r="O4" s="4"/>
      <c r="P4" s="4"/>
      <c r="Q4" s="4"/>
      <c r="R4" s="4"/>
      <c r="S4" s="4"/>
      <c r="T4" s="4"/>
    </row>
    <row r="5" ht="72" customHeight="1" spans="1:20">
      <c r="A5" s="21"/>
      <c r="B5" s="14" t="s">
        <v>104</v>
      </c>
      <c r="C5" s="15">
        <v>0.05</v>
      </c>
      <c r="D5" s="18" t="s">
        <v>105</v>
      </c>
      <c r="E5" s="18" t="s">
        <v>106</v>
      </c>
      <c r="F5" s="18" t="s">
        <v>107</v>
      </c>
      <c r="G5" s="6"/>
      <c r="H5" s="19"/>
      <c r="I5" s="6"/>
      <c r="J5" s="6"/>
      <c r="K5" s="19"/>
      <c r="L5" s="6"/>
      <c r="M5" s="4"/>
      <c r="N5" s="4"/>
      <c r="O5" s="4"/>
      <c r="P5" s="4"/>
      <c r="Q5" s="4"/>
      <c r="R5" s="4"/>
      <c r="S5" s="4"/>
      <c r="T5" s="4"/>
    </row>
    <row r="6" ht="72" customHeight="1" spans="1:20">
      <c r="A6" s="9" t="s">
        <v>108</v>
      </c>
      <c r="B6" s="14" t="s">
        <v>109</v>
      </c>
      <c r="C6" s="15">
        <v>0.15</v>
      </c>
      <c r="D6" s="18" t="s">
        <v>110</v>
      </c>
      <c r="E6" s="18" t="s">
        <v>111</v>
      </c>
      <c r="F6" s="18" t="s">
        <v>112</v>
      </c>
      <c r="G6" s="6"/>
      <c r="H6" s="19"/>
      <c r="I6" s="6"/>
      <c r="J6" s="6"/>
      <c r="K6" s="19"/>
      <c r="L6" s="6"/>
      <c r="M6" s="4"/>
      <c r="N6" s="4"/>
      <c r="O6" s="4"/>
      <c r="P6" s="4"/>
      <c r="Q6" s="4"/>
      <c r="R6" s="4"/>
      <c r="S6" s="4"/>
      <c r="T6" s="4"/>
    </row>
    <row r="7" ht="72" customHeight="1" spans="1:20">
      <c r="A7" s="21"/>
      <c r="B7" s="14" t="s">
        <v>113</v>
      </c>
      <c r="C7" s="15">
        <v>0.2</v>
      </c>
      <c r="D7" s="18" t="s">
        <v>114</v>
      </c>
      <c r="E7" s="18" t="s">
        <v>115</v>
      </c>
      <c r="F7" s="18" t="s">
        <v>116</v>
      </c>
      <c r="G7" s="6"/>
      <c r="H7" s="19"/>
      <c r="I7" s="6"/>
      <c r="J7" s="6"/>
      <c r="K7" s="19"/>
      <c r="L7" s="6"/>
      <c r="M7" s="4"/>
      <c r="N7" s="4"/>
      <c r="O7" s="4"/>
      <c r="P7" s="4"/>
      <c r="Q7" s="4"/>
      <c r="R7" s="4"/>
      <c r="S7" s="4"/>
      <c r="T7" s="4"/>
    </row>
    <row r="8" ht="72" customHeight="1" spans="1:20">
      <c r="A8" s="9" t="s">
        <v>43</v>
      </c>
      <c r="B8" s="14" t="s">
        <v>117</v>
      </c>
      <c r="C8" s="15">
        <v>0.1</v>
      </c>
      <c r="D8" s="18" t="s">
        <v>118</v>
      </c>
      <c r="E8" s="18" t="s">
        <v>119</v>
      </c>
      <c r="F8" s="18" t="s">
        <v>120</v>
      </c>
      <c r="G8" s="6"/>
      <c r="H8" s="19"/>
      <c r="I8" s="6"/>
      <c r="J8" s="6"/>
      <c r="K8" s="19"/>
      <c r="L8" s="6"/>
      <c r="M8" s="4"/>
      <c r="N8" s="4"/>
      <c r="O8" s="4"/>
      <c r="P8" s="4"/>
      <c r="Q8" s="4"/>
      <c r="R8" s="4"/>
      <c r="S8" s="4"/>
      <c r="T8" s="4"/>
    </row>
    <row r="9" ht="72" customHeight="1" spans="1:20">
      <c r="A9" s="21"/>
      <c r="B9" s="14" t="s">
        <v>121</v>
      </c>
      <c r="C9" s="15">
        <v>0.1</v>
      </c>
      <c r="D9" s="18" t="s">
        <v>91</v>
      </c>
      <c r="E9" s="18" t="s">
        <v>92</v>
      </c>
      <c r="F9" s="21"/>
      <c r="G9" s="6"/>
      <c r="H9" s="19"/>
      <c r="I9" s="6"/>
      <c r="J9" s="6"/>
      <c r="K9" s="19"/>
      <c r="L9" s="6"/>
      <c r="M9" s="4"/>
      <c r="N9" s="4"/>
      <c r="O9" s="4"/>
      <c r="P9" s="4"/>
      <c r="Q9" s="4"/>
      <c r="R9" s="4"/>
      <c r="S9" s="4"/>
      <c r="T9" s="4"/>
    </row>
    <row r="10" ht="180" customHeight="1" spans="1:20">
      <c r="A10" s="9" t="s">
        <v>51</v>
      </c>
      <c r="B10" s="3"/>
      <c r="C10" s="22" t="s">
        <v>52</v>
      </c>
      <c r="D10" s="18" t="s">
        <v>122</v>
      </c>
      <c r="E10" s="18" t="s">
        <v>54</v>
      </c>
      <c r="F10" s="18" t="s">
        <v>55</v>
      </c>
      <c r="G10" s="10"/>
      <c r="H10" s="10"/>
      <c r="I10" s="6">
        <v>0</v>
      </c>
      <c r="J10" s="6" t="s">
        <v>52</v>
      </c>
      <c r="K10" s="10"/>
      <c r="L10" s="10"/>
      <c r="M10" s="4"/>
      <c r="N10" s="4"/>
      <c r="O10" s="4"/>
      <c r="P10" s="4"/>
      <c r="Q10" s="4"/>
      <c r="R10" s="4"/>
      <c r="S10" s="4"/>
      <c r="T10" s="4"/>
    </row>
    <row r="11" ht="60" customHeight="1" spans="1:20">
      <c r="A11" s="9" t="s">
        <v>56</v>
      </c>
      <c r="B11" s="3"/>
      <c r="C11" s="22" t="s">
        <v>52</v>
      </c>
      <c r="D11" s="18" t="s">
        <v>57</v>
      </c>
      <c r="E11" s="18" t="s">
        <v>58</v>
      </c>
      <c r="F11" s="18" t="s">
        <v>59</v>
      </c>
      <c r="G11" s="10"/>
      <c r="H11" s="10"/>
      <c r="I11" s="6" t="s">
        <v>52</v>
      </c>
      <c r="J11" s="6" t="s">
        <v>52</v>
      </c>
      <c r="K11" s="10"/>
      <c r="L11" s="10"/>
      <c r="M11" s="4"/>
      <c r="N11" s="4"/>
      <c r="O11" s="4"/>
      <c r="P11" s="4"/>
      <c r="Q11" s="4"/>
      <c r="R11" s="4"/>
      <c r="S11" s="4"/>
      <c r="T11" s="4"/>
    </row>
    <row r="12" ht="30" customHeight="1" spans="1:20">
      <c r="A12" s="23" t="s">
        <v>60</v>
      </c>
      <c r="B12" s="2"/>
      <c r="C12" s="3"/>
      <c r="D12" s="23">
        <f>SUM(I3:I9)*0.8+SUM(J3:J9)*0.2+I10</f>
        <v>0</v>
      </c>
      <c r="E12" s="24"/>
      <c r="F12" s="24"/>
      <c r="G12" s="24"/>
      <c r="H12" s="24"/>
      <c r="I12" s="24"/>
      <c r="J12" s="24"/>
      <c r="K12" s="24"/>
      <c r="L12" s="24"/>
      <c r="M12" s="4"/>
      <c r="N12" s="4"/>
      <c r="O12" s="4"/>
      <c r="P12" s="4"/>
      <c r="Q12" s="4"/>
      <c r="R12" s="4"/>
      <c r="S12" s="4"/>
      <c r="T12" s="4"/>
    </row>
    <row r="13" ht="25" customHeight="1" spans="1:20">
      <c r="A13" s="25" t="s">
        <v>61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  <c r="N13" s="4"/>
      <c r="O13" s="4"/>
      <c r="P13" s="4"/>
      <c r="Q13" s="4"/>
      <c r="R13" s="4"/>
      <c r="S13" s="4"/>
      <c r="T13" s="4"/>
    </row>
    <row r="14" ht="25" customHeight="1" spans="1:20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  <c r="N14" s="4"/>
      <c r="O14" s="4"/>
      <c r="P14" s="4"/>
      <c r="Q14" s="4"/>
      <c r="R14" s="4"/>
      <c r="S14" s="4"/>
      <c r="T14" s="4"/>
    </row>
    <row r="15" ht="25" customHeight="1" spans="1:20">
      <c r="A15" s="25" t="s">
        <v>62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4"/>
      <c r="N15" s="4"/>
      <c r="O15" s="4"/>
      <c r="P15" s="4"/>
      <c r="Q15" s="4"/>
      <c r="R15" s="4"/>
      <c r="S15" s="4"/>
      <c r="T15" s="4"/>
    </row>
    <row r="16" ht="25" customHeight="1" spans="1:20">
      <c r="A16" s="10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/>
      <c r="N16" s="4"/>
      <c r="O16" s="4"/>
      <c r="P16" s="4"/>
      <c r="Q16" s="4"/>
      <c r="R16" s="4"/>
      <c r="S16" s="4"/>
      <c r="T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</sheetData>
  <mergeCells count="12">
    <mergeCell ref="A1:L1"/>
    <mergeCell ref="A10:B10"/>
    <mergeCell ref="A11:B11"/>
    <mergeCell ref="A12:C12"/>
    <mergeCell ref="A13:L13"/>
    <mergeCell ref="A14:L14"/>
    <mergeCell ref="A15:L15"/>
    <mergeCell ref="A16:L16"/>
    <mergeCell ref="A3:A5"/>
    <mergeCell ref="A6:A7"/>
    <mergeCell ref="A8:A9"/>
    <mergeCell ref="F8:F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E10" sqref="E10"/>
    </sheetView>
  </sheetViews>
  <sheetFormatPr defaultColWidth="8" defaultRowHeight="13.85"/>
  <cols>
    <col min="1" max="1" width="18" customWidth="1"/>
    <col min="2" max="2" width="20" customWidth="1"/>
    <col min="3" max="3" width="15" customWidth="1"/>
    <col min="4" max="4" width="25" customWidth="1"/>
    <col min="5" max="5" width="26.1592920353982" customWidth="1"/>
  </cols>
  <sheetData>
    <row r="1" ht="30" customHeight="1" spans="1:20">
      <c r="A1" s="1" t="s">
        <v>123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25" customHeight="1" spans="1:20">
      <c r="A2" s="5" t="s">
        <v>124</v>
      </c>
      <c r="B2" s="6" t="s">
        <v>125</v>
      </c>
      <c r="C2" s="5" t="s">
        <v>126</v>
      </c>
      <c r="D2" s="6" t="s">
        <v>127</v>
      </c>
      <c r="E2" s="6" t="s">
        <v>128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5" customHeight="1" spans="1:20">
      <c r="A3" s="5" t="s">
        <v>129</v>
      </c>
      <c r="B3" s="6" t="s">
        <v>125</v>
      </c>
      <c r="C3" s="5" t="s">
        <v>130</v>
      </c>
      <c r="D3" s="6" t="s">
        <v>131</v>
      </c>
      <c r="E3" s="6" t="s">
        <v>128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7" customHeight="1" spans="1:20">
      <c r="A4" s="5" t="s">
        <v>132</v>
      </c>
      <c r="B4" s="6" t="s">
        <v>133</v>
      </c>
      <c r="C4" s="5" t="s">
        <v>134</v>
      </c>
      <c r="D4" s="6" t="s">
        <v>125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7"/>
      <c r="B5" s="7"/>
      <c r="C5" s="7"/>
      <c r="D5" s="7"/>
      <c r="E5" s="7"/>
    </row>
    <row r="6" ht="25" customHeight="1" spans="1:20">
      <c r="A6" s="8" t="s">
        <v>135</v>
      </c>
      <c r="B6" s="2"/>
      <c r="C6" s="2"/>
      <c r="D6" s="2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5" customHeight="1" spans="1:20">
      <c r="A7" s="9" t="s">
        <v>136</v>
      </c>
      <c r="B7" s="9" t="s">
        <v>137</v>
      </c>
      <c r="C7" s="9" t="s">
        <v>16</v>
      </c>
      <c r="D7" s="9" t="s">
        <v>138</v>
      </c>
      <c r="E7" s="9" t="s">
        <v>24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25" customHeight="1" spans="1:20">
      <c r="A8" s="6" t="s">
        <v>139</v>
      </c>
      <c r="B8" s="6">
        <f>第一个月考核表!D11</f>
        <v>0</v>
      </c>
      <c r="C8" s="6">
        <v>0.3</v>
      </c>
      <c r="D8" s="6">
        <f>B8*C8</f>
        <v>0</v>
      </c>
      <c r="E8" s="6" t="s">
        <v>140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25" customHeight="1" spans="1:20">
      <c r="A9" s="6" t="s">
        <v>141</v>
      </c>
      <c r="B9" s="6">
        <f>第二个月考核表!D12</f>
        <v>0</v>
      </c>
      <c r="C9" s="6">
        <v>0.3</v>
      </c>
      <c r="D9" s="6">
        <f>B9*C9</f>
        <v>0</v>
      </c>
      <c r="E9" s="6" t="s">
        <v>142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25" customHeight="1" spans="1:20">
      <c r="A10" s="6" t="s">
        <v>143</v>
      </c>
      <c r="B10" s="6">
        <f>第三个月考核表!D12</f>
        <v>0</v>
      </c>
      <c r="C10" s="6">
        <v>0.4</v>
      </c>
      <c r="D10" s="6">
        <f>B10*C10</f>
        <v>0</v>
      </c>
      <c r="E10" s="6" t="s">
        <v>144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30" customHeight="1" spans="1:20">
      <c r="A11" s="5" t="s">
        <v>145</v>
      </c>
      <c r="B11" s="2"/>
      <c r="C11" s="3"/>
      <c r="D11" s="5">
        <f>SUM(D8:D10)</f>
        <v>0</v>
      </c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7"/>
      <c r="B12" s="7"/>
      <c r="C12" s="7"/>
      <c r="D12" s="7"/>
      <c r="E12" s="7"/>
    </row>
    <row r="13" ht="25" customHeight="1" spans="1:20">
      <c r="A13" s="8" t="s">
        <v>146</v>
      </c>
      <c r="B13" s="2"/>
      <c r="C13" s="2"/>
      <c r="D13" s="2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25" customHeight="1" spans="1:20">
      <c r="A14" s="9" t="s">
        <v>147</v>
      </c>
      <c r="B14" s="9" t="s">
        <v>148</v>
      </c>
      <c r="C14" s="9" t="s">
        <v>149</v>
      </c>
      <c r="D14" s="9" t="s">
        <v>150</v>
      </c>
      <c r="E14" s="9" t="s">
        <v>151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29" customHeight="1" spans="1:20">
      <c r="A15" s="11" t="s">
        <v>152</v>
      </c>
      <c r="B15" s="11" t="s">
        <v>153</v>
      </c>
      <c r="C15" s="6" t="s">
        <v>154</v>
      </c>
      <c r="D15" s="6" t="s">
        <v>155</v>
      </c>
      <c r="E15" s="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ht="30" customHeight="1" spans="1:20">
      <c r="A16" s="11" t="s">
        <v>156</v>
      </c>
      <c r="B16" s="11" t="s">
        <v>157</v>
      </c>
      <c r="C16" s="6" t="s">
        <v>154</v>
      </c>
      <c r="D16" s="6" t="s">
        <v>158</v>
      </c>
      <c r="E16" s="6" t="s">
        <v>159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30" customHeight="1" spans="1:20">
      <c r="A17" s="11" t="s">
        <v>160</v>
      </c>
      <c r="B17" s="11" t="s">
        <v>161</v>
      </c>
      <c r="C17" s="6" t="s">
        <v>162</v>
      </c>
      <c r="D17" s="6" t="s">
        <v>163</v>
      </c>
      <c r="E17" s="6" t="s">
        <v>159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27" customHeight="1" spans="1:20">
      <c r="A18" s="11" t="s">
        <v>164</v>
      </c>
      <c r="B18" s="11" t="s">
        <v>165</v>
      </c>
      <c r="C18" s="6" t="s">
        <v>166</v>
      </c>
      <c r="D18" s="6" t="s">
        <v>167</v>
      </c>
      <c r="E18" s="6" t="s">
        <v>159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25" customHeight="1" spans="1:20">
      <c r="A19" s="11" t="s">
        <v>168</v>
      </c>
      <c r="B19" s="11" t="s">
        <v>169</v>
      </c>
      <c r="C19" s="6" t="s">
        <v>170</v>
      </c>
      <c r="D19" s="6" t="s">
        <v>171</v>
      </c>
      <c r="E19" s="6" t="s">
        <v>159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4"/>
      <c r="B20" s="4"/>
      <c r="C20" s="4"/>
      <c r="D20" s="4"/>
      <c r="E20" s="4"/>
    </row>
    <row r="21" spans="1:20">
      <c r="A21" s="4"/>
      <c r="B21" s="4"/>
      <c r="C21" s="4"/>
      <c r="D21" s="4"/>
      <c r="E21" s="4"/>
    </row>
    <row r="22" spans="1:20">
      <c r="A22" s="4"/>
      <c r="B22" s="4"/>
      <c r="C22" s="4"/>
      <c r="D22" s="4"/>
      <c r="E22" s="4"/>
    </row>
    <row r="23" spans="1:20">
      <c r="A23" s="4"/>
      <c r="B23" s="4"/>
      <c r="C23" s="4"/>
      <c r="D23" s="4"/>
      <c r="E23" s="4"/>
    </row>
    <row r="24" spans="1:20">
      <c r="A24" s="4"/>
      <c r="B24" s="4"/>
      <c r="C24" s="4"/>
      <c r="D24" s="4"/>
      <c r="E24" s="4"/>
    </row>
    <row r="25" spans="1:20">
      <c r="A25" s="4"/>
      <c r="B25" s="4"/>
      <c r="C25" s="4"/>
      <c r="D25" s="4"/>
      <c r="E25" s="4"/>
    </row>
    <row r="26" spans="1:20">
      <c r="A26" s="4"/>
      <c r="B26" s="4"/>
      <c r="C26" s="4"/>
      <c r="D26" s="4"/>
      <c r="E26" s="4"/>
    </row>
    <row r="27" spans="1:20">
      <c r="A27" s="4"/>
      <c r="B27" s="4"/>
      <c r="C27" s="4"/>
      <c r="D27" s="4"/>
      <c r="E27" s="4"/>
    </row>
    <row r="28" spans="1:20">
      <c r="A28" s="4"/>
      <c r="B28" s="4"/>
      <c r="C28" s="4"/>
      <c r="D28" s="4"/>
      <c r="E28" s="4"/>
    </row>
    <row r="29" spans="1:20">
      <c r="A29" s="4"/>
      <c r="B29" s="4"/>
      <c r="C29" s="4"/>
      <c r="D29" s="4"/>
      <c r="E29" s="4"/>
    </row>
    <row r="30" spans="1:20">
      <c r="A30" s="4"/>
      <c r="B30" s="4"/>
      <c r="C30" s="4"/>
      <c r="D30" s="4"/>
      <c r="E30" s="4"/>
    </row>
    <row r="31" spans="1:20">
      <c r="A31" s="4"/>
      <c r="B31" s="4"/>
      <c r="C31" s="4"/>
      <c r="D31" s="4"/>
      <c r="E31" s="4"/>
    </row>
    <row r="32" spans="1:20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</sheetData>
  <mergeCells count="4">
    <mergeCell ref="A1:E1"/>
    <mergeCell ref="A6:E6"/>
    <mergeCell ref="A11:C11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录用条件说明</vt:lpstr>
      <vt:lpstr>第一个月考核表</vt:lpstr>
      <vt:lpstr>第二个月考核表</vt:lpstr>
      <vt:lpstr>第三个月考核表</vt:lpstr>
      <vt:lpstr>试用期综合评定表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2026-09-30T06:16:00Z</dcterms:created>
  <dcterms:modified xsi:type="dcterms:W3CDTF">2026-10-12T04:56:24Z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{"Label":"1","ContentProducer":"001191110102MACQD9K64010000","ProduceID":"7691208123416628446","ReservedCode1":"","ContentPropagator":"","PropagateID":"","ReservedCode2":""}</vt:lpwstr>
  </property>
  <property fmtid="{D5CDD505-2E9C-101B-9397-08002B2CF9AE}" pid="3" name="ICV">
    <vt:lpwstr>AE4212AEBCDF4143A5E320F98ACFE408_12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