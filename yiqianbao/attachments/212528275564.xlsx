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商用车费用明细" sheetId="7" r:id="rId1"/>
  </sheets>
  <definedNames>
    <definedName name="_xlnm._FilterDatabase" localSheetId="0" hidden="1">商用车费用明细!$A$2:$Z$7</definedName>
    <definedName name="_xlnm.Print_Titles" localSheetId="0">商用车费用明细!$2:$2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<sst xmlns="http://schemas.openxmlformats.org/spreadsheetml/2006/main" count="50" uniqueCount="47">
  <si>
    <t>序号</t>
  </si>
  <si>
    <t>服务站</t>
  </si>
  <si>
    <t>维修日期</t>
  </si>
  <si>
    <t>地址</t>
  </si>
  <si>
    <t>项目名称</t>
  </si>
  <si>
    <t>车辆基本信息</t>
  </si>
  <si>
    <t>维修信息</t>
  </si>
  <si>
    <t>维修费用</t>
  </si>
  <si>
    <t>车型</t>
  </si>
  <si>
    <t>车辆VIN码</t>
  </si>
  <si>
    <t>车牌号</t>
  </si>
  <si>
    <t>生产日期</t>
  </si>
  <si>
    <t>行驶里程</t>
  </si>
  <si>
    <t>派工单号</t>
  </si>
  <si>
    <t>问题描述/故障原因</t>
  </si>
  <si>
    <t>处理措施</t>
  </si>
  <si>
    <t>更换备件名称</t>
  </si>
  <si>
    <t>更换数量</t>
  </si>
  <si>
    <t>工时</t>
  </si>
  <si>
    <t>单价</t>
  </si>
  <si>
    <t>工时费</t>
  </si>
  <si>
    <t>救援拖车费&amp;叉车租赁费</t>
  </si>
  <si>
    <t>垫付费用</t>
  </si>
  <si>
    <t>配件材料费</t>
  </si>
  <si>
    <t>出车里程数</t>
  </si>
  <si>
    <t>出车费</t>
  </si>
  <si>
    <t>叉车租赁费</t>
  </si>
  <si>
    <t>合计</t>
  </si>
  <si>
    <t>中航确认</t>
  </si>
  <si>
    <t>陕西胥行时代</t>
  </si>
  <si>
    <t>开瑞新能源汽车服务有限公司</t>
  </si>
  <si>
    <t>奇瑞（物流车）</t>
  </si>
  <si>
    <t>KQ53</t>
  </si>
  <si>
    <t>HEV11AF16PF130632</t>
  </si>
  <si>
    <t>陕AAL6359</t>
  </si>
  <si>
    <t>PGD20260203011</t>
  </si>
  <si>
    <t>根据外服安排，对换包后的故障旧电池包进行放电工作。</t>
  </si>
  <si>
    <t>客根据外服安排，对换包后的故障旧电池包进行放电工作，共计15个旧电池包放电，粘贴标签。</t>
  </si>
  <si>
    <t>/</t>
  </si>
  <si>
    <t>龙腾世纪混泥土有限公司</t>
  </si>
  <si>
    <t>徐工汽车</t>
  </si>
  <si>
    <t>纯电动搅拌车</t>
  </si>
  <si>
    <t>LC1HNYBJ6R0005968</t>
  </si>
  <si>
    <t>陕A23289D</t>
  </si>
  <si>
    <t>PGD20260211137</t>
  </si>
  <si>
    <t>车辆无法快充。</t>
  </si>
  <si>
    <t>第一次上门2.8日到达现场，车辆报充电主正主负继电器粘连，现场更换充电主正主负继电器后，车辆仍无法充电。第二次上门2.9日更换高压盒还是无法充电，第三次上门2.10日经与客户确认后整车更换过充电枪口，排查发现充电1通讯插头与充电2通讯插头，插错。现场重新按顺序插好后车辆移交客户试车。（备注：①出车信息：陕西胥行时代--陕西德润达混凝土有限公司，单程18KM，往返三次18KM，18*3=54*2*3=324元。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</si>
</sst>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0.00_);[Red]\(0.00\)"/>
    <numFmt numFmtId="178" formatCode="yyyy/m/d;@"/>
    <numFmt numFmtId="179" formatCode="yyyy\-mm\-dd"/>
    <numFmt numFmtId="180" formatCode="0.00_ "/>
    <numFmt numFmtId="181" formatCode="0.0_ "/>
  </numFmts>
  <fonts count="24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9"/>
      <name val="微软雅黑"/>
      <charset val="134"/>
    </font>
    <font>
      <b/>
      <sz val="1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176" fontId="2" fillId="0" borderId="0" xfId="0" applyNumberFormat="1" applyFont="1" applyFill="1" applyAlignment="1">
      <alignment horizontal="center" vertical="center" wrapText="1"/>
    </xf>
    <xf numFmtId="177" fontId="2" fillId="0" borderId="0" xfId="0" applyNumberFormat="1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>
      <alignment horizontal="center" vertical="center" wrapText="1"/>
    </xf>
    <xf numFmtId="17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80" fontId="1" fillId="0" borderId="1" xfId="0" applyNumberFormat="1" applyFont="1" applyFill="1" applyBorder="1" applyAlignment="1">
      <alignment horizontal="center" vertical="center" wrapText="1"/>
    </xf>
    <xf numFmtId="181" fontId="4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180" fontId="2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7"/>
  <sheetViews>
    <sheetView tabSelected="1" zoomScale="70" zoomScaleNormal="70" topLeftCell="H1" workbookViewId="0">
      <pane ySplit="2" topLeftCell="A3" activePane="bottomLeft" state="frozen"/>
      <selection/>
      <selection pane="bottomLeft" activeCell="W7" sqref="R7 W7"/>
    </sheetView>
  </sheetViews>
  <sheetFormatPr defaultColWidth="9" defaultRowHeight="16.5" outlineLevelRow="6"/>
  <cols>
    <col min="1" max="1" width="3.75" style="2" customWidth="1"/>
    <col min="2" max="2" width="7.775" style="2" customWidth="1"/>
    <col min="3" max="3" width="10.8916666666667" style="3" customWidth="1"/>
    <col min="4" max="4" width="9.13333333333333" style="2" customWidth="1"/>
    <col min="5" max="5" width="8.63333333333333" style="2" customWidth="1"/>
    <col min="6" max="6" width="6.5" style="2" customWidth="1"/>
    <col min="7" max="7" width="21.9583333333333" style="2" customWidth="1"/>
    <col min="8" max="8" width="10.25" style="2" customWidth="1"/>
    <col min="9" max="9" width="12.25" style="2" customWidth="1"/>
    <col min="10" max="10" width="8.56666666666667" style="2" customWidth="1"/>
    <col min="11" max="11" width="16.425" style="2" customWidth="1"/>
    <col min="12" max="12" width="16.1333333333333" style="1" customWidth="1"/>
    <col min="13" max="13" width="35.7083333333333" style="1" customWidth="1"/>
    <col min="14" max="14" width="11.6083333333333" style="1" customWidth="1"/>
    <col min="15" max="15" width="6.60833333333333" style="2" customWidth="1"/>
    <col min="16" max="16" width="7.46666666666667" style="2" customWidth="1"/>
    <col min="17" max="17" width="8.89166666666667" style="4" customWidth="1"/>
    <col min="18" max="18" width="10.9416666666667" style="4" customWidth="1"/>
    <col min="19" max="19" width="12.6916666666667" style="4" customWidth="1"/>
    <col min="20" max="20" width="9.99166666666667" style="4" customWidth="1"/>
    <col min="21" max="21" width="9.35833333333333" style="4" customWidth="1"/>
    <col min="22" max="22" width="10" style="4" customWidth="1"/>
    <col min="23" max="24" width="7.5" style="4" customWidth="1"/>
    <col min="25" max="25" width="9.13333333333333" style="4" customWidth="1"/>
    <col min="26" max="26" width="11.6666666666667" style="2" customWidth="1"/>
    <col min="27" max="27" width="52.6333333333333" style="2" customWidth="1"/>
    <col min="28" max="16384" width="9" style="2"/>
  </cols>
  <sheetData>
    <row r="1" s="1" customFormat="1" ht="36" customHeight="1" spans="1:26">
      <c r="A1" s="5" t="s">
        <v>0</v>
      </c>
      <c r="B1" s="6" t="s">
        <v>1</v>
      </c>
      <c r="C1" s="7" t="s">
        <v>2</v>
      </c>
      <c r="D1" s="5" t="s">
        <v>3</v>
      </c>
      <c r="E1" s="5" t="s">
        <v>4</v>
      </c>
      <c r="F1" s="5" t="s">
        <v>5</v>
      </c>
      <c r="G1" s="5"/>
      <c r="H1" s="5"/>
      <c r="I1" s="5"/>
      <c r="J1" s="5"/>
      <c r="K1" s="5" t="s">
        <v>6</v>
      </c>
      <c r="L1" s="5"/>
      <c r="M1" s="5"/>
      <c r="N1" s="5"/>
      <c r="O1" s="5"/>
      <c r="P1" s="5" t="s">
        <v>7</v>
      </c>
      <c r="Q1" s="8"/>
      <c r="R1" s="8"/>
      <c r="S1" s="8"/>
      <c r="T1" s="8"/>
      <c r="U1" s="8"/>
      <c r="V1" s="8"/>
      <c r="W1" s="8"/>
      <c r="X1" s="8"/>
      <c r="Y1" s="8"/>
      <c r="Z1" s="5"/>
    </row>
    <row r="2" s="1" customFormat="1" ht="73" customHeight="1" spans="1:26">
      <c r="A2" s="5"/>
      <c r="B2" s="6"/>
      <c r="C2" s="7"/>
      <c r="D2" s="5"/>
      <c r="E2" s="5"/>
      <c r="F2" s="5" t="s">
        <v>8</v>
      </c>
      <c r="G2" s="5" t="s">
        <v>9</v>
      </c>
      <c r="H2" s="9" t="s">
        <v>10</v>
      </c>
      <c r="I2" s="9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8" t="s">
        <v>19</v>
      </c>
      <c r="R2" s="8" t="s">
        <v>20</v>
      </c>
      <c r="S2" s="8" t="s">
        <v>21</v>
      </c>
      <c r="T2" s="8" t="s">
        <v>22</v>
      </c>
      <c r="U2" s="8" t="s">
        <v>23</v>
      </c>
      <c r="V2" s="8" t="s">
        <v>24</v>
      </c>
      <c r="W2" s="8" t="s">
        <v>25</v>
      </c>
      <c r="X2" s="8" t="s">
        <v>26</v>
      </c>
      <c r="Y2" s="8" t="s">
        <v>27</v>
      </c>
      <c r="Z2" s="5" t="s">
        <v>28</v>
      </c>
    </row>
    <row r="3" s="1" customFormat="1" ht="157" customHeight="1" spans="1:26">
      <c r="A3" s="10">
        <v>1</v>
      </c>
      <c r="B3" s="10" t="s">
        <v>29</v>
      </c>
      <c r="C3" s="11">
        <v>46056</v>
      </c>
      <c r="D3" s="12" t="s">
        <v>30</v>
      </c>
      <c r="E3" s="12" t="s">
        <v>31</v>
      </c>
      <c r="F3" s="12" t="s">
        <v>32</v>
      </c>
      <c r="G3" s="13" t="s">
        <v>33</v>
      </c>
      <c r="H3" s="13" t="s">
        <v>34</v>
      </c>
      <c r="I3" s="11">
        <v>45139</v>
      </c>
      <c r="J3" s="13">
        <v>67408</v>
      </c>
      <c r="K3" s="13" t="s">
        <v>35</v>
      </c>
      <c r="L3" s="12" t="s">
        <v>36</v>
      </c>
      <c r="M3" s="12" t="s">
        <v>37</v>
      </c>
      <c r="N3" s="10" t="s">
        <v>38</v>
      </c>
      <c r="O3" s="10">
        <v>0</v>
      </c>
      <c r="P3" s="10">
        <v>54.5</v>
      </c>
      <c r="Q3" s="14">
        <v>35</v>
      </c>
      <c r="R3" s="14">
        <f>Q3*P3</f>
        <v>1907.5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f>X3+W3+U3+T3+S3+R3</f>
        <v>1907.5</v>
      </c>
      <c r="Z3" s="14"/>
    </row>
    <row r="4" s="1" customFormat="1" ht="331" customHeight="1" spans="1:26">
      <c r="A4" s="10">
        <v>2</v>
      </c>
      <c r="B4" s="10" t="s">
        <v>29</v>
      </c>
      <c r="C4" s="11">
        <v>46061</v>
      </c>
      <c r="D4" s="12" t="s">
        <v>39</v>
      </c>
      <c r="E4" s="12" t="s">
        <v>40</v>
      </c>
      <c r="F4" s="12" t="s">
        <v>41</v>
      </c>
      <c r="G4" s="13" t="s">
        <v>42</v>
      </c>
      <c r="H4" s="13" t="s">
        <v>43</v>
      </c>
      <c r="I4" s="11">
        <v>45383</v>
      </c>
      <c r="J4" s="15">
        <v>96293</v>
      </c>
      <c r="K4" s="13" t="s">
        <v>44</v>
      </c>
      <c r="L4" s="12" t="s">
        <v>45</v>
      </c>
      <c r="M4" s="12" t="s">
        <v>46</v>
      </c>
      <c r="N4" s="10" t="s">
        <v>38</v>
      </c>
      <c r="O4" s="10">
        <v>0</v>
      </c>
      <c r="P4" s="10">
        <v>15.5</v>
      </c>
      <c r="Q4" s="14">
        <v>35</v>
      </c>
      <c r="R4" s="14">
        <f>Q4*P4</f>
        <v>542.5</v>
      </c>
      <c r="S4" s="14">
        <v>0</v>
      </c>
      <c r="T4" s="14">
        <v>0</v>
      </c>
      <c r="U4" s="14">
        <v>0</v>
      </c>
      <c r="V4" s="14">
        <v>108</v>
      </c>
      <c r="W4" s="14">
        <v>324</v>
      </c>
      <c r="X4" s="14">
        <v>0</v>
      </c>
      <c r="Y4" s="14">
        <f>X4+W4+U4+T4+S4+R4</f>
        <v>866.5</v>
      </c>
      <c r="Z4" s="14"/>
    </row>
    <row r="5" s="1" customFormat="1" ht="75" customHeight="1" spans="1:26">
      <c r="A5" s="10"/>
      <c r="B5" s="10"/>
      <c r="C5" s="11"/>
      <c r="D5" s="12"/>
      <c r="E5" s="12"/>
      <c r="F5" s="12"/>
      <c r="G5" s="13"/>
      <c r="H5" s="13"/>
      <c r="I5" s="11"/>
      <c r="J5" s="13"/>
      <c r="K5" s="13"/>
      <c r="L5" s="12"/>
      <c r="M5" s="12"/>
      <c r="N5" s="10"/>
      <c r="O5" s="10"/>
      <c r="P5" s="10"/>
      <c r="Q5" s="14"/>
      <c r="R5" s="14"/>
      <c r="S5" s="14"/>
      <c r="T5" s="14"/>
      <c r="U5" s="16"/>
      <c r="V5" s="14"/>
      <c r="W5" s="14"/>
      <c r="X5" s="14"/>
      <c r="Y5" s="14"/>
      <c r="Z5" s="14"/>
    </row>
    <row r="6" s="1" customFormat="1" ht="75" customHeight="1" spans="1:26">
      <c r="A6" s="10">
        <v>3</v>
      </c>
      <c r="B6" s="10"/>
      <c r="C6" s="11"/>
      <c r="D6" s="12"/>
      <c r="E6" s="12"/>
      <c r="F6" s="12"/>
      <c r="G6" s="13"/>
      <c r="H6" s="13"/>
      <c r="I6" s="11"/>
      <c r="J6" s="13"/>
      <c r="K6" s="13"/>
      <c r="L6" s="12"/>
      <c r="M6" s="12"/>
      <c r="N6" s="10"/>
      <c r="O6" s="10"/>
      <c r="P6" s="10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="2" customFormat="1" ht="54" customHeight="1" spans="1:26">
      <c r="A7" s="17" t="s">
        <v>27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9"/>
      <c r="O7" s="20">
        <f>O3+O4</f>
        <v>0</v>
      </c>
      <c r="P7" s="20">
        <f>P3+P4</f>
        <v>70</v>
      </c>
      <c r="Q7" s="20">
        <v>35</v>
      </c>
      <c r="R7" s="20">
        <f>P7*Q7</f>
        <v>2450</v>
      </c>
      <c r="S7" s="20">
        <f>S3+S4</f>
        <v>0</v>
      </c>
      <c r="T7" s="20">
        <f t="shared" ref="T7:Y7" si="0">T3+T4</f>
        <v>0</v>
      </c>
      <c r="U7" s="20">
        <f t="shared" si="0"/>
        <v>0</v>
      </c>
      <c r="V7" s="20">
        <f t="shared" si="0"/>
        <v>108</v>
      </c>
      <c r="W7" s="20">
        <f t="shared" si="0"/>
        <v>324</v>
      </c>
      <c r="X7" s="20">
        <f t="shared" si="0"/>
        <v>0</v>
      </c>
      <c r="Y7" s="20">
        <f t="shared" si="0"/>
        <v>2774</v>
      </c>
      <c r="Z7" s="20"/>
    </row>
  </sheetData>
  <autoFilter xmlns:etc="http://www.wps.cn/officeDocument/2017/etCustomData" ref="A2:Z7" etc:filterBottomFollowUsedRange="0">
    <extLst/>
  </autoFilter>
  <mergeCells count="9">
    <mergeCell ref="F1:J1"/>
    <mergeCell ref="K1:O1"/>
    <mergeCell ref="P1:Z1"/>
    <mergeCell ref="A7:N7"/>
    <mergeCell ref="A1:A2"/>
    <mergeCell ref="B1:B2"/>
    <mergeCell ref="C1:C2"/>
    <mergeCell ref="D1:D2"/>
    <mergeCell ref="E1:E2"/>
  </mergeCells>
  <pageMargins left="0" right="0" top="0.196527777777778" bottom="0.196527777777778" header="0.5" footer="0.5"/>
  <pageSetup paperSize="9" scale="51" fitToHeight="0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商用车费用明细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冰释凝霜</cp:lastModifiedBy>
  <dcterms:created xsi:type="dcterms:W3CDTF">2023-05-12T11:15:00Z</dcterms:created>
  <dcterms:modified xsi:type="dcterms:W3CDTF">2026-03-02T07:56:13Z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EEBA78227DF24EBBB00EA8EFE8B67563_13</vt:lpwstr>
  </property>
  <property fmtid="{D5CDD505-2E9C-101B-9397-08002B2CF9AE}" pid="4" name="CalculationRule">
    <vt:i4>0</vt:i4>
  </property>
</Properties>
</file>