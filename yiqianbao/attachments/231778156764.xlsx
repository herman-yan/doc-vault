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bdcn\Desktop\"/>
    </mc:Choice>
  </mc:AlternateContent>
  <bookViews>
    <workbookView windowWidth="18600" windowHeight="8055"/>
  </bookViews>
  <sheets>
    <sheet name="录用条件说明" sheetId="7" r:id="rId1"/>
    <sheet name="第一个月考核表" sheetId="3" r:id="rId2"/>
    <sheet name="第二个月考核表" sheetId="4" r:id="rId3"/>
    <sheet name="第三个月考核表" sheetId="5" r:id="rId4"/>
    <sheet name="试用期综合评定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<sst xmlns="http://schemas.openxmlformats.org/spreadsheetml/2006/main" count="248" uniqueCount="158">
  <si>
    <t>试用期绩效考核表说明</t>
  </si>
  <si>
    <t>文件名称</t>
  </si>
  <si>
    <t>试用期绩效考核表（裴熬）202608.xlsx</t>
  </si>
  <si>
    <t>员工姓名</t>
  </si>
  <si>
    <t>裴熬</t>
  </si>
  <si>
    <t/>
  </si>
  <si>
    <t>一、说明</t>
  </si>
  <si>
    <t>本考核表所包含的全部内容（各工作表）均作为员工录用条件的重要组成部分。</t>
  </si>
  <si>
    <t>员工在入职时已充分阅读、理解并认可本考核表的所有条款和要求。</t>
  </si>
  <si>
    <t>二、考核表组成</t>
  </si>
  <si>
    <t>1. 月度考核表：针对月度工作的考核标准和要求</t>
  </si>
  <si>
    <t>2. 试用期综合评定表：明确考核结果与试用期转正、薪资调整等的关联规则</t>
  </si>
  <si>
    <t>三、签收确认</t>
  </si>
  <si>
    <t>员工确认：本人已收到并理解上述考核表内容，同意将其作为录用条件执行。</t>
  </si>
  <si>
    <r>
      <rPr>
        <b/>
        <sz val="12"/>
        <color rgb="FF2C3E50"/>
        <rFont val="微软雅黑"/>
        <charset val="134"/>
      </rPr>
      <t>员工签收：__________________________     日期：</t>
    </r>
    <r>
      <rPr>
        <b/>
        <u/>
        <sz val="12"/>
        <color rgb="FF2C3E50"/>
        <rFont val="微软雅黑"/>
        <charset val="134"/>
      </rPr>
      <t>_2026___</t>
    </r>
    <r>
      <rPr>
        <b/>
        <sz val="12"/>
        <color rgb="FF2C3E50"/>
        <rFont val="微软雅黑"/>
        <charset val="134"/>
      </rPr>
      <t>年</t>
    </r>
    <r>
      <rPr>
        <b/>
        <u/>
        <sz val="12"/>
        <color rgb="FF2C3E50"/>
        <rFont val="微软雅黑"/>
        <charset val="134"/>
      </rPr>
      <t>____</t>
    </r>
    <r>
      <rPr>
        <b/>
        <sz val="12"/>
        <color rgb="FF2C3E50"/>
        <rFont val="微软雅黑"/>
        <charset val="134"/>
      </rPr>
      <t>月</t>
    </r>
    <r>
      <rPr>
        <b/>
        <u/>
        <sz val="12"/>
        <color rgb="FF2C3E50"/>
        <rFont val="微软雅黑"/>
        <charset val="134"/>
      </rPr>
      <t>___</t>
    </r>
    <r>
      <rPr>
        <b/>
        <sz val="12"/>
        <color rgb="FF2C3E50"/>
        <rFont val="微软雅黑"/>
        <charset val="134"/>
      </rPr>
      <t>日</t>
    </r>
  </si>
  <si>
    <t>试用期绩效考核表（第1个月）</t>
  </si>
  <si>
    <t>考核维度</t>
  </si>
  <si>
    <t>指标名称</t>
  </si>
  <si>
    <t>权重</t>
  </si>
  <si>
    <t>考核目标/标准</t>
  </si>
  <si>
    <t>具体评分规则</t>
  </si>
  <si>
    <t>考核依据</t>
  </si>
  <si>
    <t>自评分</t>
  </si>
  <si>
    <t>实际完成情况（事实举证）</t>
  </si>
  <si>
    <t>上级评分80%</t>
  </si>
  <si>
    <t>360度评分20%</t>
  </si>
  <si>
    <t>备注</t>
  </si>
  <si>
    <t>公共关系规划输出</t>
  </si>
  <si>
    <t>行业公共关系资源全面梳理</t>
  </si>
  <si>
    <t>1. 完成新能源电池行业公共关系资源全面梳理，包括：政府机关（工信、发改、科技、市场监管、应急管理等）、行业协会/商会、媒体资源、专业服务机构、学术/科研机构、关联异业标杆企业六大类；
2. 输出完整的资源清单，包含资源名称、对接人、联系方式、层级、合作潜力评估等信息。</t>
  </si>
  <si>
    <t>1. 六大类资源全部梳理完成且信息完整得20分；
2. 完成4-5类得15分；
3. 完成3类及以下得5分；
4. 未开展得0分。</t>
  </si>
  <si>
    <t>公共关系中长期规划；
公共关系资源梳理清单</t>
  </si>
  <si>
    <t>公共关系战略规划与拓展计划制定</t>
  </si>
  <si>
    <t>1. 基于公司战略与资源梳理结果，制定公共关系中长期战略规划，明确公关定位、核心目标、关键路径；
2. 制定年度公共关系拓展计划，明确需开拓的重点资源方、开拓目标、资源价值及推进步骤、时间节点。</t>
  </si>
  <si>
    <t>1. 战略规划与拓展计划均完整、目标清晰、路径可落地得20分；
2. 仅完成拓展计划但战略规划缺失得15分；
3. 有框架但内容较粗得10分；
4. 未完成得0分。</t>
  </si>
  <si>
    <t>公共关系实际落地</t>
  </si>
  <si>
    <t>重点政府关系初步对接</t>
  </si>
  <si>
    <t>1. 根据拓展计划，至少完成2个政府部门（区级及以上）的初步联系与对接，建立沟通渠道；
2. 了解相关部门职能与政策方向，形成对接备忘录。</t>
  </si>
  <si>
    <t>1. 完成2个政府部门对接并建立有效沟通渠道得15分；
2. 完成1个得8分；
3. 有联系但未建立有效对接得5分；
4. 未开展得0分。</t>
  </si>
  <si>
    <t>公共资源维护台帐</t>
  </si>
  <si>
    <t>行业协会/核心媒体初步对接</t>
  </si>
  <si>
    <t>1. 至少完成3个行业协会/核心媒体的初步联系与对接，了解合作模式与机会；
2. 建立初步合作意向或信息互通机制。</t>
  </si>
  <si>
    <t>1. 完成3个以上对接且有明确合作意向得15分；
2. 完成2个得10分；
3. 完成1个得5分；
4. 未开展得0分。</t>
  </si>
  <si>
    <t>政策研究与解读机制建立</t>
  </si>
  <si>
    <t>1. 建立政策监测与解读机制，明确监测渠道、重点领域与输出频率；
2. 输出首份政策动态月报，梳理当月新能源、电池回收、储能等相关政策。</t>
  </si>
  <si>
    <t>1. 机制建立完善且首份月报质量高得10分；
2. 有机制但月报质量一般得7分；
3. 仅开展零散政策收集得4分；
4. 未开展得0分。</t>
  </si>
  <si>
    <t>团队融入与协作</t>
  </si>
  <si>
    <t>团队融入</t>
  </si>
  <si>
    <t>1. 快速熟悉组织架构、业务模式、企业文化及团队成员；
2. 基本掌握在手工作事项与进展。</t>
  </si>
  <si>
    <t>1. 融入快、工作清晰、无遗漏得10分；
2. 基本了解工作得5分；
3. 或融入较慢得2分；
4. 严重滞后得0分。</t>
  </si>
  <si>
    <t>团队反馈</t>
  </si>
  <si>
    <t>跨部门协作与沟通</t>
  </si>
  <si>
    <t>1. 主动与核心协作部门建立沟通机制；
2. 协作顺畅，无因沟通导致的工作延误。</t>
  </si>
  <si>
    <t>1. 主动沟通、协作顺畅、反馈良好得10分；
2. 基本满足协作需求得5分；
3. 沟通被动或有轻微延误得2分；
4. 严重影响协作得0分。</t>
  </si>
  <si>
    <t>加减分数项</t>
  </si>
  <si>
    <t>/</t>
  </si>
  <si>
    <t>1.加分项：
  • 公共关系资源拓展超额完成，额外对接重要资源方；
  • 运用个人资源解决核心工作关键卡点；
  • 其他上级判定的加分事项。
2.减分项：
  • 因个人工作失误导致非重大经济损失（＜5000元）或品牌负面影响；
  • 工作延误影响整体项目进度；
  • 其他上级判定的减分事项。</t>
  </si>
  <si>
    <t>1.加分项：每达成一项，根据成果价值加5-20分；
2.减分项：每发生一项，根据行为影响扣5-20分。</t>
  </si>
  <si>
    <t>工作成果记录；
处罚通知单；
其他明确依据。</t>
  </si>
  <si>
    <t>一票否决</t>
  </si>
  <si>
    <t>严重违纪：包括但不限于《奖惩管理制度》中的严重违纪行为，如：处理不当导致严重后果的重大经济损失（品牌损害）、重大合规处罚、泄露商业秘密等</t>
  </si>
  <si>
    <t>出现任意项，则当月绩效总得分为0</t>
  </si>
  <si>
    <t>处罚通知单</t>
  </si>
  <si>
    <t>月度绩效总分</t>
  </si>
  <si>
    <t>自我评定总结、发展计划与工作建议：</t>
  </si>
  <si>
    <t>绩效沟通之上级主管建议：</t>
  </si>
  <si>
    <t>试用期绩效考核表（第2个月）</t>
  </si>
  <si>
    <t>公共关系体系与制度建设</t>
  </si>
  <si>
    <t>1. 建立公共关系管理制度，明确公关工作流程、审批机制、口径管理规范；</t>
  </si>
  <si>
    <t>1. 核心制度全部建立且质量高得15分；
2. 完成主要制度但部分待完善得10分；
3. 仅有框架得5分；
4. 未开展得0分。</t>
  </si>
  <si>
    <t>公关管理制度、
半年度项目申报计划、
公关风险点梳理报告</t>
  </si>
  <si>
    <t>政府项目申报规划</t>
  </si>
  <si>
    <t>1. 调研并筛选适合申报的政府项目（高新技术企业、专精特新、产业扶持资金等）；
2. 制定半年度政府项目申报计划，明确申报目标、时间节点与责任分工。</t>
  </si>
  <si>
    <t>1. 筛选精准、计划完整、可行性高得10分；
2. 基本完成但深度不足得7分；
3. 仅有初步清单得4分；
4. 未开展得0分。</t>
  </si>
  <si>
    <t>危机公关预案制定</t>
  </si>
  <si>
    <t>1. 识别公司主要公关风险点（安全事故、服务投诉、合规问题等），制定危机公关应急预案，明确分级响应机制、处置流程与发言人制度。</t>
  </si>
  <si>
    <t>1. 风险识别全面、预案完整可操作得10分；
2. 基本完成但细节待完善得7分；
3. 仅有框架得4分；
4. 未开展得0分。</t>
  </si>
  <si>
    <t>政府关系深度对接</t>
  </si>
  <si>
    <t>1. 持续推进政府关系拓展，本月新增至少2个政府部门有效对接；
2. 至少1个对接关系进入实质性沟通（项目申报、政策咨询、走访交流等）。</t>
  </si>
  <si>
    <t>1. 新增2个且1个进入实质阶段得15分；
2. 新增2个但均为初步对接得10分；
3. 新增1个得5分；
4. 无新增得0分。</t>
  </si>
  <si>
    <t>公共资源维护台帐
项目推进记录</t>
  </si>
  <si>
    <t>行业协会/媒体深度合作推进</t>
  </si>
  <si>
    <t>1. 本月新增至少3个行业协会/媒体资源对接；
2. 至少达成1项具体合作（协会入会、媒体专访、联合活动等）。</t>
  </si>
  <si>
    <t>1. 新增3个且达成1项合作得15分；
2. 新增3个但无具体合作得10分；
3. 新增1-2个得5分；
4. 无新增得0分。</t>
  </si>
  <si>
    <t>政策项目申报推进</t>
  </si>
  <si>
    <t>1. 至少启动1个政府项目申报工作，完成申报材料准备与提交；
2. 持续跟踪政策动态，按月输出政策解读报告。</t>
  </si>
  <si>
    <t>1. 成功提交1项申报且月报质量高得15分；
2. 启动申报但未完成提交得10分；
3. 仅做政策跟踪得5分；
4. 未开展得0分。</t>
  </si>
  <si>
    <t>1. 了解各核心成员工作职责及工作风格；
2. 清晰掌握在手工作事项与进展。</t>
  </si>
  <si>
    <t>跨部门协作效率</t>
  </si>
  <si>
    <t>1. 跨部门协同顺畅，主动推进协作事项；
2. 各核心协作部门满意度≥80%。</t>
  </si>
  <si>
    <t>1. 满意度≥85%且无延误得10分；
2. 满意度80-84%得5分；
3. 满意度＜80%或有延误得2分；
4. 严重影响协作得0分。</t>
  </si>
  <si>
    <t>试用期绩效考核表（第3个月）</t>
  </si>
  <si>
    <t>公共关系体系完善与优化</t>
  </si>
  <si>
    <t>1. 完善公共关系管理体系，补充优化各项制度流程；
2. 输出公共管理相关SOP文件，明确各项公关工作标准操作流程。</t>
  </si>
  <si>
    <t>1. 体系完善、手册完整可操作得15分；
2. 基本完成但部分待优化得10分；
3. 仅有零散制度得5分；
4. 未开展得0分。</t>
  </si>
  <si>
    <t>公关管理体系相关SOP文件
舆情监测体系</t>
  </si>
  <si>
    <t>公关工作复盘与规划调整</t>
  </si>
  <si>
    <t>1. 复盘试用期公关工作成果与不足，形成复盘报告；
2. 调整优化下阶段公关工作规划与重点。</t>
  </si>
  <si>
    <t>1. 复盘深入、调整合理得10分；
2. 基本完成但深度不足得7分；
3. 仅有简单总结得4分；
4. 未开展得0分。</t>
  </si>
  <si>
    <t>舆情监测体系搭建</t>
  </si>
  <si>
    <t>1. 建立集团舆情监测体系，明确监测范围、工具、频率与响应机制；
2. 试运行舆情监测，输出舆情监测周报/月报。</t>
  </si>
  <si>
    <t>1. 体系完善、运行顺畅、报告质量高得10分；
2. 基本建立但有待优化得7分；
3. 仅有初步尝试得4分；
4. 未开展得0分。</t>
  </si>
  <si>
    <t>政府关系网络初步建成</t>
  </si>
  <si>
    <t>1. 累计建立有效政府关系不少于5个（含区级及以上）；
2. 至少2个关系进入深度合作阶段（项目落地、政策支持、定期互访等）。</t>
  </si>
  <si>
    <t>1. 累计5个且2个深度合作得15分；
2. 累计5个但深度不足得10分；
3. 累计3-4个得5分；
4. 不足3个得0分。</t>
  </si>
  <si>
    <t>政府项目申报成果</t>
  </si>
  <si>
    <t>1. 试用期内累计提交政府项目申报不少于2项；
2. 至少1项获得受理或通过初审；
3. 持续跟踪已申报项目进展。</t>
  </si>
  <si>
    <t>1. 提交2项且1项获受理/通过初审得15分；
2. 提交2项但均未反馈得10分；
3. 提交1项得5分；
4. 未提交得0分。</t>
  </si>
  <si>
    <t>行业影响力初步建立</t>
  </si>
  <si>
    <t>1. 公司加入至少1个核心行业协会/联盟；
2. 至少完成1次行业媒体深度报道或公开演讲；
3. 核心媒体资源累计不少于10家。</t>
  </si>
  <si>
    <t>1. 三项全部达成得15分；
2. 完成2项得10分；
3. 完成1项得5分；
4. 未达成得0分。</t>
  </si>
  <si>
    <t>试用期综合评定表</t>
  </si>
  <si>
    <t>姓名</t>
  </si>
  <si>
    <t>__________</t>
  </si>
  <si>
    <t>部门</t>
  </si>
  <si>
    <t>公共关系与市场部</t>
  </si>
  <si>
    <t>职位</t>
  </si>
  <si>
    <t>入职日期</t>
  </si>
  <si>
    <t>试用期</t>
  </si>
  <si>
    <t>三个月</t>
  </si>
  <si>
    <t>部门总监</t>
  </si>
  <si>
    <t>考核人</t>
  </si>
  <si>
    <t>总（副）经理、综合管理部</t>
  </si>
  <si>
    <t>评定日期</t>
  </si>
  <si>
    <t>一、月度考核得分汇总</t>
  </si>
  <si>
    <t>考核月份</t>
  </si>
  <si>
    <t>月度得分</t>
  </si>
  <si>
    <t>加权得分</t>
  </si>
  <si>
    <t>第一个月</t>
  </si>
  <si>
    <t>侧重规划输出与资源梳理</t>
  </si>
  <si>
    <t>第二个月</t>
  </si>
  <si>
    <t>侧重体系建设与落地推进</t>
  </si>
  <si>
    <t>第三个月</t>
  </si>
  <si>
    <t>侧重成果验收与体系成熟</t>
  </si>
  <si>
    <t>试用期综合得分</t>
  </si>
  <si>
    <t>二、考核等级与转正评定</t>
  </si>
  <si>
    <t>考核等级</t>
  </si>
  <si>
    <t>得分区间</t>
  </si>
  <si>
    <t>转正建议</t>
  </si>
  <si>
    <t>说明</t>
  </si>
  <si>
    <t>评定结果（√）</t>
  </si>
  <si>
    <t>优秀</t>
  </si>
  <si>
    <t>≥90分</t>
  </si>
  <si>
    <t>提前转正</t>
  </si>
  <si>
    <t>表现突出，超出岗位预期</t>
  </si>
  <si>
    <t>□</t>
  </si>
  <si>
    <t>合格</t>
  </si>
  <si>
    <t>80-89分</t>
  </si>
  <si>
    <t>按期转正</t>
  </si>
  <si>
    <t>胜任岗位要求，符合转正条件</t>
  </si>
  <si>
    <t>基本合格</t>
  </si>
  <si>
    <t>70-79分</t>
  </si>
  <si>
    <t>延长试用期或调整岗位</t>
  </si>
  <si>
    <t>胜任能力需再观察</t>
  </si>
  <si>
    <t>不合格</t>
  </si>
  <si>
    <t>＜70分</t>
  </si>
  <si>
    <t>不予转正，解除劳动合同</t>
  </si>
  <si>
    <t>不胜任岗位要求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</si>
</sst>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16"/>
      <color theme="0"/>
      <name val="微软雅黑"/>
      <charset val="134"/>
    </font>
    <font>
      <sz val="11"/>
      <color theme="0"/>
      <name val="等线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sz val="11"/>
      <color rgb="FF000000"/>
      <name val="Calibri"/>
      <charset val="134"/>
    </font>
    <font>
      <b/>
      <sz val="11"/>
      <color rgb="FF000000"/>
      <name val="微软雅黑"/>
      <charset val="134"/>
    </font>
    <font>
      <b/>
      <sz val="16"/>
      <color rgb="FFFFFFFF"/>
      <name val="微软雅黑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b/>
      <sz val="12"/>
      <color rgb="FF2C3E5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2"/>
      <color rgb="FF2C3E5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 tint="0.8"/>
        <bgColor rgb="FFF8F9FA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/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/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/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8" fillId="6" borderId="2" xfId="0" applyNumberFormat="1" applyFont="1" applyFill="1" applyBorder="1" applyAlignment="1" applyProtection="1">
      <alignment horizontal="center" vertical="center" wrapText="1"/>
    </xf>
    <xf numFmtId="0" fontId="9" fillId="7" borderId="1" xfId="0" applyNumberFormat="1" applyFont="1" applyFill="1" applyBorder="1" applyAlignment="1" applyProtection="1">
      <alignment horizontal="center" vertical="center" wrapText="1"/>
    </xf>
    <xf numFmtId="0" fontId="10" fillId="7" borderId="1" xfId="0" applyNumberFormat="1" applyFont="1" applyFill="1" applyBorder="1" applyAlignment="1" applyProtection="1">
      <alignment horizontal="center" vertical="center" wrapText="1"/>
    </xf>
    <xf numFmtId="0" fontId="9" fillId="8" borderId="1" xfId="0" applyNumberFormat="1" applyFont="1" applyFill="1" applyBorder="1" applyAlignment="1" applyProtection="1">
      <alignment horizontal="center" vertical="center" wrapText="1"/>
    </xf>
    <xf numFmtId="0" fontId="10" fillId="8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left" vertical="center" wrapText="1"/>
    </xf>
    <xf numFmtId="0" fontId="10" fillId="8" borderId="1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 applyProtection="1"/>
    <xf numFmtId="0" fontId="11" fillId="0" borderId="1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F5" sqref="F5"/>
    </sheetView>
  </sheetViews>
  <sheetFormatPr defaultColWidth="9" defaultRowHeight="13.85" outlineLevelCol="1"/>
  <cols>
    <col min="1" max="1" width="12" style="25" customWidth="1"/>
    <col min="2" max="2" width="60" style="25" customWidth="1"/>
    <col min="3" max="16384" width="9" style="24"/>
  </cols>
  <sheetData>
    <row r="1" s="24" customFormat="1" ht="35" customHeight="1" spans="1:2">
      <c r="A1" s="26" t="s">
        <v>0</v>
      </c>
      <c r="B1" s="25"/>
    </row>
    <row r="2" s="24" customFormat="1" ht="25" customHeight="1" spans="1:2">
      <c r="A2" s="27" t="s">
        <v>1</v>
      </c>
      <c r="B2" s="28" t="s">
        <v>2</v>
      </c>
    </row>
    <row r="3" s="24" customFormat="1" ht="22" customHeight="1" spans="1:2">
      <c r="A3" s="29" t="s">
        <v>3</v>
      </c>
      <c r="B3" s="30" t="s">
        <v>4</v>
      </c>
    </row>
    <row r="4" s="24" customFormat="1" ht="22" customHeight="1" spans="1:2">
      <c r="A4" s="31" t="s">
        <v>5</v>
      </c>
      <c r="B4" s="31" t="s">
        <v>5</v>
      </c>
    </row>
    <row r="5" s="24" customFormat="1" ht="46" customHeight="1" spans="1:2">
      <c r="A5" s="29" t="s">
        <v>6</v>
      </c>
      <c r="B5" s="32" t="s">
        <v>7</v>
      </c>
    </row>
    <row r="6" s="24" customFormat="1" ht="22" customHeight="1" spans="1:2">
      <c r="A6" s="29"/>
      <c r="B6" s="31" t="s">
        <v>8</v>
      </c>
    </row>
    <row r="7" s="24" customFormat="1" ht="22" customHeight="1" spans="1:2">
      <c r="A7" s="31" t="s">
        <v>5</v>
      </c>
      <c r="B7" s="31" t="s">
        <v>5</v>
      </c>
    </row>
    <row r="8" s="24" customFormat="1" ht="44" customHeight="1" spans="1:2">
      <c r="A8" s="29" t="s">
        <v>9</v>
      </c>
      <c r="B8" s="32" t="s">
        <v>10</v>
      </c>
    </row>
    <row r="9" s="24" customFormat="1" ht="40" customHeight="1" spans="1:2">
      <c r="A9" s="29"/>
      <c r="B9" s="31" t="s">
        <v>11</v>
      </c>
    </row>
    <row r="10" s="24" customFormat="1" ht="22" customHeight="1" spans="1:2">
      <c r="A10" s="31" t="s">
        <v>5</v>
      </c>
      <c r="B10" s="31" t="s">
        <v>5</v>
      </c>
    </row>
    <row r="11" s="24" customFormat="1" ht="45" customHeight="1" spans="1:2">
      <c r="A11" s="29" t="s">
        <v>12</v>
      </c>
      <c r="B11" s="32" t="s">
        <v>13</v>
      </c>
    </row>
    <row r="12" ht="22" customHeight="1" spans="1:2">
      <c r="A12" s="33"/>
      <c r="B12" s="33"/>
    </row>
    <row r="13" s="24" customFormat="1" ht="16.9" spans="1:2">
      <c r="A13" s="34" t="s">
        <v>14</v>
      </c>
      <c r="B13" s="33"/>
    </row>
  </sheetData>
  <mergeCells count="4">
    <mergeCell ref="A1:B1"/>
    <mergeCell ref="A13:B13"/>
    <mergeCell ref="A5:A6"/>
    <mergeCell ref="A8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6"/>
  <sheetViews>
    <sheetView zoomScale="89" zoomScaleNormal="89" workbookViewId="0">
      <selection activeCell="F5" sqref="F5:F7"/>
    </sheetView>
  </sheetViews>
  <sheetFormatPr defaultColWidth="8" defaultRowHeight="13.85"/>
  <cols>
    <col min="1" max="1" width="18" customWidth="1"/>
    <col min="2" max="2" width="22" customWidth="1"/>
    <col min="3" max="3" width="8" customWidth="1"/>
    <col min="4" max="4" width="40" customWidth="1"/>
    <col min="5" max="5" width="35" customWidth="1"/>
    <col min="6" max="6" width="25" customWidth="1"/>
    <col min="7" max="7" width="8" customWidth="1"/>
    <col min="8" max="8" width="25" customWidth="1"/>
    <col min="9" max="9" width="12" customWidth="1"/>
    <col min="10" max="10" width="10" customWidth="1"/>
    <col min="11" max="11" width="25" customWidth="1"/>
    <col min="12" max="12" width="15" customWidth="1"/>
  </cols>
  <sheetData>
    <row r="1" ht="40" customHeight="1" spans="1:12">
      <c r="A1" s="10" t="s">
        <v>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ht="35" customHeight="1" spans="1:12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2" t="s">
        <v>23</v>
      </c>
      <c r="I2" s="12" t="s">
        <v>24</v>
      </c>
      <c r="J2" s="12" t="s">
        <v>25</v>
      </c>
      <c r="K2" s="12" t="s">
        <v>23</v>
      </c>
      <c r="L2" s="12" t="s">
        <v>26</v>
      </c>
    </row>
    <row r="3" ht="72" customHeight="1" spans="1:12">
      <c r="A3" s="13" t="s">
        <v>27</v>
      </c>
      <c r="B3" s="14" t="s">
        <v>28</v>
      </c>
      <c r="C3" s="15">
        <v>0.2</v>
      </c>
      <c r="D3" s="16" t="s">
        <v>29</v>
      </c>
      <c r="E3" s="16" t="s">
        <v>30</v>
      </c>
      <c r="F3" s="16" t="s">
        <v>31</v>
      </c>
      <c r="G3" s="4"/>
      <c r="H3" s="16"/>
      <c r="I3" s="4">
        <v>0</v>
      </c>
      <c r="J3" s="4">
        <v>0</v>
      </c>
      <c r="K3" s="17"/>
      <c r="L3" s="17"/>
    </row>
    <row r="4" ht="92" customHeight="1" spans="1:12">
      <c r="A4" s="23"/>
      <c r="B4" s="14" t="s">
        <v>32</v>
      </c>
      <c r="C4" s="15">
        <v>0.2</v>
      </c>
      <c r="D4" s="16" t="s">
        <v>33</v>
      </c>
      <c r="E4" s="16" t="s">
        <v>34</v>
      </c>
      <c r="F4" s="19"/>
      <c r="G4" s="4"/>
      <c r="H4" s="16"/>
      <c r="I4" s="4">
        <v>0</v>
      </c>
      <c r="J4" s="4">
        <v>0</v>
      </c>
      <c r="K4" s="17"/>
      <c r="L4" s="17"/>
    </row>
    <row r="5" ht="72" customHeight="1" spans="1:12">
      <c r="A5" s="13" t="s">
        <v>35</v>
      </c>
      <c r="B5" s="14" t="s">
        <v>36</v>
      </c>
      <c r="C5" s="15">
        <v>0.15</v>
      </c>
      <c r="D5" s="16" t="s">
        <v>37</v>
      </c>
      <c r="E5" s="16" t="s">
        <v>38</v>
      </c>
      <c r="F5" s="16" t="s">
        <v>39</v>
      </c>
      <c r="G5" s="4"/>
      <c r="H5" s="16"/>
      <c r="I5" s="4">
        <v>0</v>
      </c>
      <c r="J5" s="4">
        <v>0</v>
      </c>
      <c r="K5" s="17"/>
      <c r="L5" s="17"/>
    </row>
    <row r="6" ht="72" customHeight="1" spans="1:12">
      <c r="A6" s="23"/>
      <c r="B6" s="14" t="s">
        <v>40</v>
      </c>
      <c r="C6" s="15">
        <v>0.15</v>
      </c>
      <c r="D6" s="16" t="s">
        <v>41</v>
      </c>
      <c r="E6" s="16" t="s">
        <v>42</v>
      </c>
      <c r="F6" s="19"/>
      <c r="G6" s="4"/>
      <c r="H6" s="16"/>
      <c r="I6" s="4">
        <v>0</v>
      </c>
      <c r="J6" s="4">
        <v>0</v>
      </c>
      <c r="K6" s="17"/>
      <c r="L6" s="17"/>
    </row>
    <row r="7" ht="72" customHeight="1" spans="1:12">
      <c r="A7" s="23"/>
      <c r="B7" s="14" t="s">
        <v>43</v>
      </c>
      <c r="C7" s="15">
        <v>0.1</v>
      </c>
      <c r="D7" s="16" t="s">
        <v>44</v>
      </c>
      <c r="E7" s="16" t="s">
        <v>45</v>
      </c>
      <c r="F7" s="19"/>
      <c r="G7" s="4"/>
      <c r="H7" s="16"/>
      <c r="I7" s="4">
        <v>0</v>
      </c>
      <c r="J7" s="4">
        <v>0</v>
      </c>
      <c r="K7" s="17"/>
      <c r="L7" s="17"/>
    </row>
    <row r="8" ht="72" customHeight="1" spans="1:12">
      <c r="A8" s="13" t="s">
        <v>46</v>
      </c>
      <c r="B8" s="14" t="s">
        <v>47</v>
      </c>
      <c r="C8" s="15">
        <v>0.1</v>
      </c>
      <c r="D8" s="16" t="s">
        <v>48</v>
      </c>
      <c r="E8" s="16" t="s">
        <v>49</v>
      </c>
      <c r="F8" s="16" t="s">
        <v>50</v>
      </c>
      <c r="G8" s="4"/>
      <c r="H8" s="16"/>
      <c r="I8" s="4">
        <v>0</v>
      </c>
      <c r="J8" s="4">
        <v>0</v>
      </c>
      <c r="K8" s="17"/>
      <c r="L8" s="17"/>
    </row>
    <row r="9" ht="72" customHeight="1" spans="1:12">
      <c r="A9" s="23"/>
      <c r="B9" s="14" t="s">
        <v>51</v>
      </c>
      <c r="C9" s="15">
        <v>0.1</v>
      </c>
      <c r="D9" s="16" t="s">
        <v>52</v>
      </c>
      <c r="E9" s="16" t="s">
        <v>53</v>
      </c>
      <c r="F9" s="19"/>
      <c r="G9" s="4"/>
      <c r="H9" s="16"/>
      <c r="I9" s="4">
        <v>0</v>
      </c>
      <c r="J9" s="4">
        <v>0</v>
      </c>
      <c r="K9" s="17"/>
      <c r="L9" s="17"/>
    </row>
    <row r="10" ht="200" customHeight="1" spans="1:12">
      <c r="A10" s="13" t="s">
        <v>54</v>
      </c>
      <c r="B10" s="23"/>
      <c r="C10" s="4" t="s">
        <v>55</v>
      </c>
      <c r="D10" s="16" t="s">
        <v>56</v>
      </c>
      <c r="E10" s="16" t="s">
        <v>57</v>
      </c>
      <c r="F10" s="16" t="s">
        <v>58</v>
      </c>
      <c r="G10" s="19"/>
      <c r="H10" s="19"/>
      <c r="I10" s="4">
        <v>0</v>
      </c>
      <c r="J10" s="4" t="s">
        <v>55</v>
      </c>
      <c r="K10" s="9"/>
      <c r="L10" s="9"/>
    </row>
    <row r="11" ht="60" customHeight="1" spans="1:12">
      <c r="A11" s="13" t="s">
        <v>59</v>
      </c>
      <c r="B11" s="23"/>
      <c r="C11" s="4" t="s">
        <v>55</v>
      </c>
      <c r="D11" s="16" t="s">
        <v>60</v>
      </c>
      <c r="E11" s="16" t="s">
        <v>61</v>
      </c>
      <c r="F11" s="16" t="s">
        <v>62</v>
      </c>
      <c r="G11" s="19"/>
      <c r="H11" s="19"/>
      <c r="I11" s="4" t="s">
        <v>55</v>
      </c>
      <c r="J11" s="4" t="s">
        <v>55</v>
      </c>
      <c r="K11" s="9"/>
      <c r="L11" s="9"/>
    </row>
    <row r="12" ht="30" customHeight="1" spans="1:12">
      <c r="A12" s="22" t="s">
        <v>63</v>
      </c>
      <c r="B12" s="7"/>
      <c r="C12" s="7"/>
      <c r="D12" s="22">
        <f>(I3+I4+I5+I6+I7+I8+I9)*0.8+(J3+J4+J5+J6+J7+J8+J9)*0.2+I10</f>
        <v>0</v>
      </c>
      <c r="E12" s="7"/>
      <c r="F12" s="7"/>
      <c r="G12" s="7"/>
      <c r="H12" s="7"/>
      <c r="I12" s="7"/>
      <c r="J12" s="7"/>
      <c r="K12" s="7"/>
      <c r="L12" s="7"/>
    </row>
    <row r="13" ht="25" customHeight="1" spans="1:12">
      <c r="A13" s="20" t="s">
        <v>64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ht="25" customHeight="1" spans="1:1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ht="25" customHeight="1" spans="1:12">
      <c r="A15" s="20" t="s">
        <v>65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ht="25" customHeight="1" spans="1:1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</sheetData>
  <mergeCells count="15">
    <mergeCell ref="A1:L1"/>
    <mergeCell ref="A10:B10"/>
    <mergeCell ref="A11:B11"/>
    <mergeCell ref="A12:C12"/>
    <mergeCell ref="D12:L12"/>
    <mergeCell ref="A13:L13"/>
    <mergeCell ref="A14:L14"/>
    <mergeCell ref="A15:L15"/>
    <mergeCell ref="A16:L16"/>
    <mergeCell ref="A3:A4"/>
    <mergeCell ref="A5:A7"/>
    <mergeCell ref="A8:A9"/>
    <mergeCell ref="F3:F4"/>
    <mergeCell ref="F5:F7"/>
    <mergeCell ref="F8:F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7"/>
  <sheetViews>
    <sheetView zoomScale="90" zoomScaleNormal="90" workbookViewId="0">
      <selection activeCell="B9" sqref="B9:F10"/>
    </sheetView>
  </sheetViews>
  <sheetFormatPr defaultColWidth="8" defaultRowHeight="13.85"/>
  <cols>
    <col min="1" max="1" width="18" customWidth="1"/>
    <col min="2" max="2" width="22" customWidth="1"/>
    <col min="3" max="3" width="8" customWidth="1"/>
    <col min="4" max="4" width="40" customWidth="1"/>
    <col min="5" max="5" width="35" customWidth="1"/>
    <col min="6" max="6" width="25" customWidth="1"/>
    <col min="7" max="7" width="8" customWidth="1"/>
    <col min="8" max="8" width="25" customWidth="1"/>
    <col min="9" max="9" width="12" customWidth="1"/>
    <col min="10" max="10" width="10" customWidth="1"/>
    <col min="11" max="11" width="25" customWidth="1"/>
    <col min="12" max="12" width="15" customWidth="1"/>
  </cols>
  <sheetData>
    <row r="1" ht="40" customHeight="1" spans="1:12">
      <c r="A1" s="10" t="s">
        <v>66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ht="35" customHeight="1" spans="1:12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2" t="s">
        <v>23</v>
      </c>
      <c r="I2" s="12" t="s">
        <v>24</v>
      </c>
      <c r="J2" s="12" t="s">
        <v>25</v>
      </c>
      <c r="K2" s="12" t="s">
        <v>23</v>
      </c>
      <c r="L2" s="12" t="s">
        <v>26</v>
      </c>
    </row>
    <row r="3" ht="72" customHeight="1" spans="1:12">
      <c r="A3" s="13" t="s">
        <v>27</v>
      </c>
      <c r="B3" s="14" t="s">
        <v>67</v>
      </c>
      <c r="C3" s="15">
        <v>0.15</v>
      </c>
      <c r="D3" s="16" t="s">
        <v>68</v>
      </c>
      <c r="E3" s="16" t="s">
        <v>69</v>
      </c>
      <c r="F3" s="16" t="s">
        <v>70</v>
      </c>
      <c r="G3" s="4"/>
      <c r="H3" s="17"/>
      <c r="I3" s="4">
        <v>0</v>
      </c>
      <c r="J3" s="4">
        <v>0</v>
      </c>
      <c r="K3" s="17"/>
      <c r="L3" s="17"/>
    </row>
    <row r="4" ht="72" customHeight="1" spans="1:12">
      <c r="A4" s="18"/>
      <c r="B4" s="14" t="s">
        <v>71</v>
      </c>
      <c r="C4" s="15">
        <v>0.1</v>
      </c>
      <c r="D4" s="16" t="s">
        <v>72</v>
      </c>
      <c r="E4" s="16" t="s">
        <v>73</v>
      </c>
      <c r="F4" s="19"/>
      <c r="G4" s="4"/>
      <c r="H4" s="17"/>
      <c r="I4" s="4">
        <v>0</v>
      </c>
      <c r="J4" s="4">
        <v>0</v>
      </c>
      <c r="K4" s="17"/>
      <c r="L4" s="17"/>
    </row>
    <row r="5" ht="72" customHeight="1" spans="1:12">
      <c r="A5" s="18"/>
      <c r="B5" s="14" t="s">
        <v>74</v>
      </c>
      <c r="C5" s="15">
        <v>0.1</v>
      </c>
      <c r="D5" s="16" t="s">
        <v>75</v>
      </c>
      <c r="E5" s="16" t="s">
        <v>76</v>
      </c>
      <c r="F5" s="19"/>
      <c r="G5" s="4"/>
      <c r="H5" s="17"/>
      <c r="I5" s="4">
        <v>0</v>
      </c>
      <c r="J5" s="4">
        <v>0</v>
      </c>
      <c r="K5" s="17"/>
      <c r="L5" s="17"/>
    </row>
    <row r="6" ht="72" customHeight="1" spans="1:12">
      <c r="A6" s="13" t="s">
        <v>35</v>
      </c>
      <c r="B6" s="14" t="s">
        <v>77</v>
      </c>
      <c r="C6" s="15">
        <v>0.15</v>
      </c>
      <c r="D6" s="16" t="s">
        <v>78</v>
      </c>
      <c r="E6" s="16" t="s">
        <v>79</v>
      </c>
      <c r="F6" s="16" t="s">
        <v>80</v>
      </c>
      <c r="G6" s="4"/>
      <c r="H6" s="17"/>
      <c r="I6" s="4">
        <v>0</v>
      </c>
      <c r="J6" s="4">
        <v>0</v>
      </c>
      <c r="K6" s="17"/>
      <c r="L6" s="17"/>
    </row>
    <row r="7" ht="72" customHeight="1" spans="1:12">
      <c r="A7" s="18"/>
      <c r="B7" s="14" t="s">
        <v>81</v>
      </c>
      <c r="C7" s="15">
        <v>0.15</v>
      </c>
      <c r="D7" s="16" t="s">
        <v>82</v>
      </c>
      <c r="E7" s="16" t="s">
        <v>83</v>
      </c>
      <c r="F7" s="19"/>
      <c r="G7" s="4"/>
      <c r="H7" s="17"/>
      <c r="I7" s="4">
        <v>0</v>
      </c>
      <c r="J7" s="4">
        <v>0</v>
      </c>
      <c r="K7" s="17"/>
      <c r="L7" s="17"/>
    </row>
    <row r="8" ht="72" customHeight="1" spans="1:12">
      <c r="A8" s="18"/>
      <c r="B8" s="14" t="s">
        <v>84</v>
      </c>
      <c r="C8" s="15">
        <v>0.15</v>
      </c>
      <c r="D8" s="16" t="s">
        <v>85</v>
      </c>
      <c r="E8" s="16" t="s">
        <v>86</v>
      </c>
      <c r="F8" s="19"/>
      <c r="G8" s="4"/>
      <c r="H8" s="17"/>
      <c r="I8" s="4">
        <v>0</v>
      </c>
      <c r="J8" s="4">
        <v>0</v>
      </c>
      <c r="K8" s="17"/>
      <c r="L8" s="17"/>
    </row>
    <row r="9" ht="72" customHeight="1" spans="1:12">
      <c r="A9" s="13" t="s">
        <v>46</v>
      </c>
      <c r="B9" s="14" t="s">
        <v>47</v>
      </c>
      <c r="C9" s="15">
        <v>0.1</v>
      </c>
      <c r="D9" s="16" t="s">
        <v>87</v>
      </c>
      <c r="E9" s="16" t="s">
        <v>49</v>
      </c>
      <c r="F9" s="16" t="s">
        <v>50</v>
      </c>
      <c r="G9" s="4"/>
      <c r="H9" s="17"/>
      <c r="I9" s="4">
        <v>0</v>
      </c>
      <c r="J9" s="4">
        <v>0</v>
      </c>
      <c r="K9" s="17"/>
      <c r="L9" s="17"/>
    </row>
    <row r="10" ht="72" customHeight="1" spans="1:12">
      <c r="A10" s="18"/>
      <c r="B10" s="14" t="s">
        <v>88</v>
      </c>
      <c r="C10" s="15">
        <v>0.1</v>
      </c>
      <c r="D10" s="16" t="s">
        <v>89</v>
      </c>
      <c r="E10" s="16" t="s">
        <v>90</v>
      </c>
      <c r="F10" s="19"/>
      <c r="G10" s="4"/>
      <c r="H10" s="17"/>
      <c r="I10" s="4">
        <v>0</v>
      </c>
      <c r="J10" s="4">
        <v>0</v>
      </c>
      <c r="K10" s="17"/>
      <c r="L10" s="17"/>
    </row>
    <row r="11" ht="200" customHeight="1" spans="1:12">
      <c r="A11" s="13" t="s">
        <v>54</v>
      </c>
      <c r="B11" s="18"/>
      <c r="C11" s="4" t="s">
        <v>55</v>
      </c>
      <c r="D11" s="16" t="s">
        <v>56</v>
      </c>
      <c r="E11" s="16" t="s">
        <v>57</v>
      </c>
      <c r="F11" s="16" t="s">
        <v>58</v>
      </c>
      <c r="G11" s="9"/>
      <c r="H11" s="9"/>
      <c r="I11" s="4">
        <v>0</v>
      </c>
      <c r="J11" s="4" t="s">
        <v>55</v>
      </c>
      <c r="K11" s="9"/>
      <c r="L11" s="9"/>
    </row>
    <row r="12" ht="60" customHeight="1" spans="1:12">
      <c r="A12" s="13" t="s">
        <v>59</v>
      </c>
      <c r="B12" s="18"/>
      <c r="C12" s="4" t="s">
        <v>55</v>
      </c>
      <c r="D12" s="16" t="s">
        <v>60</v>
      </c>
      <c r="E12" s="16" t="s">
        <v>61</v>
      </c>
      <c r="F12" s="16" t="s">
        <v>62</v>
      </c>
      <c r="G12" s="9"/>
      <c r="H12" s="9"/>
      <c r="I12" s="4" t="s">
        <v>55</v>
      </c>
      <c r="J12" s="4" t="s">
        <v>55</v>
      </c>
      <c r="K12" s="9"/>
      <c r="L12" s="9"/>
    </row>
    <row r="13" ht="30" customHeight="1" spans="1:12">
      <c r="A13" s="22" t="s">
        <v>63</v>
      </c>
      <c r="B13" s="7"/>
      <c r="C13" s="7"/>
      <c r="D13" s="22">
        <f>(I3+I4+I5+I6+I7+I8+I9+I10)*0.8+(J3+J4+J5+J6+J7+J8+J9+J10)*0.2+I11</f>
        <v>0</v>
      </c>
      <c r="E13" s="7"/>
      <c r="F13" s="7"/>
      <c r="G13" s="7"/>
      <c r="H13" s="7"/>
      <c r="I13" s="7"/>
      <c r="J13" s="7"/>
      <c r="K13" s="7"/>
      <c r="L13" s="7"/>
    </row>
    <row r="14" ht="25" customHeight="1" spans="1:12">
      <c r="A14" s="20" t="s">
        <v>64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ht="25" customHeight="1" spans="1:1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ht="25" customHeight="1" spans="1:12">
      <c r="A16" s="20" t="s">
        <v>65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ht="25" customHeight="1" spans="1:1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</sheetData>
  <mergeCells count="15">
    <mergeCell ref="A1:L1"/>
    <mergeCell ref="A11:B11"/>
    <mergeCell ref="A12:B12"/>
    <mergeCell ref="A13:C13"/>
    <mergeCell ref="D13:L13"/>
    <mergeCell ref="A14:L14"/>
    <mergeCell ref="A15:L15"/>
    <mergeCell ref="A16:L16"/>
    <mergeCell ref="A17:L17"/>
    <mergeCell ref="A3:A5"/>
    <mergeCell ref="A6:A8"/>
    <mergeCell ref="A9:A10"/>
    <mergeCell ref="F3:F5"/>
    <mergeCell ref="F6:F8"/>
    <mergeCell ref="F9:F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7"/>
  <sheetViews>
    <sheetView zoomScale="83" zoomScaleNormal="83" workbookViewId="0">
      <selection activeCell="D13" sqref="D13:L13"/>
    </sheetView>
  </sheetViews>
  <sheetFormatPr defaultColWidth="8" defaultRowHeight="13.85"/>
  <cols>
    <col min="1" max="1" width="18" customWidth="1"/>
    <col min="2" max="2" width="22" customWidth="1"/>
    <col min="3" max="3" width="8" customWidth="1"/>
    <col min="4" max="4" width="40" customWidth="1"/>
    <col min="5" max="5" width="35" customWidth="1"/>
    <col min="6" max="6" width="25" customWidth="1"/>
    <col min="7" max="7" width="8" customWidth="1"/>
    <col min="8" max="8" width="25" customWidth="1"/>
    <col min="9" max="9" width="12" customWidth="1"/>
    <col min="10" max="10" width="10" customWidth="1"/>
    <col min="11" max="11" width="25" customWidth="1"/>
    <col min="12" max="12" width="15" customWidth="1"/>
  </cols>
  <sheetData>
    <row r="1" ht="40" customHeight="1" spans="1:12">
      <c r="A1" s="10" t="s">
        <v>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ht="35" customHeight="1" spans="1:12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2" t="s">
        <v>23</v>
      </c>
      <c r="I2" s="12" t="s">
        <v>24</v>
      </c>
      <c r="J2" s="12" t="s">
        <v>25</v>
      </c>
      <c r="K2" s="12" t="s">
        <v>23</v>
      </c>
      <c r="L2" s="12" t="s">
        <v>26</v>
      </c>
    </row>
    <row r="3" ht="72" customHeight="1" spans="1:12">
      <c r="A3" s="13" t="s">
        <v>27</v>
      </c>
      <c r="B3" s="14" t="s">
        <v>92</v>
      </c>
      <c r="C3" s="15">
        <v>0.15</v>
      </c>
      <c r="D3" s="16" t="s">
        <v>93</v>
      </c>
      <c r="E3" s="16" t="s">
        <v>94</v>
      </c>
      <c r="F3" s="16" t="s">
        <v>95</v>
      </c>
      <c r="G3" s="4"/>
      <c r="H3" s="17"/>
      <c r="I3" s="4">
        <v>0</v>
      </c>
      <c r="J3" s="4">
        <v>0</v>
      </c>
      <c r="K3" s="17"/>
      <c r="L3" s="17"/>
    </row>
    <row r="4" ht="72" customHeight="1" spans="1:12">
      <c r="A4" s="18"/>
      <c r="B4" s="14" t="s">
        <v>96</v>
      </c>
      <c r="C4" s="15">
        <v>0.1</v>
      </c>
      <c r="D4" s="16" t="s">
        <v>97</v>
      </c>
      <c r="E4" s="16" t="s">
        <v>98</v>
      </c>
      <c r="F4" s="19"/>
      <c r="G4" s="4"/>
      <c r="H4" s="17"/>
      <c r="I4" s="4">
        <v>0</v>
      </c>
      <c r="J4" s="4">
        <v>0</v>
      </c>
      <c r="K4" s="17"/>
      <c r="L4" s="17"/>
    </row>
    <row r="5" ht="72" customHeight="1" spans="1:12">
      <c r="A5" s="18"/>
      <c r="B5" s="14" t="s">
        <v>99</v>
      </c>
      <c r="C5" s="15">
        <v>0.1</v>
      </c>
      <c r="D5" s="16" t="s">
        <v>100</v>
      </c>
      <c r="E5" s="16" t="s">
        <v>101</v>
      </c>
      <c r="F5" s="19"/>
      <c r="G5" s="4"/>
      <c r="H5" s="17"/>
      <c r="I5" s="4">
        <v>0</v>
      </c>
      <c r="J5" s="4">
        <v>0</v>
      </c>
      <c r="K5" s="17"/>
      <c r="L5" s="17"/>
    </row>
    <row r="6" ht="72" customHeight="1" spans="1:12">
      <c r="A6" s="13" t="s">
        <v>35</v>
      </c>
      <c r="B6" s="14" t="s">
        <v>102</v>
      </c>
      <c r="C6" s="15">
        <v>0.15</v>
      </c>
      <c r="D6" s="16" t="s">
        <v>103</v>
      </c>
      <c r="E6" s="16" t="s">
        <v>104</v>
      </c>
      <c r="F6" s="16" t="s">
        <v>80</v>
      </c>
      <c r="G6" s="4"/>
      <c r="H6" s="17"/>
      <c r="I6" s="4">
        <v>0</v>
      </c>
      <c r="J6" s="4">
        <v>0</v>
      </c>
      <c r="K6" s="17"/>
      <c r="L6" s="17"/>
    </row>
    <row r="7" ht="72" customHeight="1" spans="1:12">
      <c r="A7" s="18"/>
      <c r="B7" s="14" t="s">
        <v>105</v>
      </c>
      <c r="C7" s="15">
        <v>0.15</v>
      </c>
      <c r="D7" s="16" t="s">
        <v>106</v>
      </c>
      <c r="E7" s="16" t="s">
        <v>107</v>
      </c>
      <c r="F7" s="19"/>
      <c r="G7" s="4"/>
      <c r="H7" s="17"/>
      <c r="I7" s="4">
        <v>0</v>
      </c>
      <c r="J7" s="4">
        <v>0</v>
      </c>
      <c r="K7" s="17"/>
      <c r="L7" s="17"/>
    </row>
    <row r="8" ht="72" customHeight="1" spans="1:12">
      <c r="A8" s="18"/>
      <c r="B8" s="14" t="s">
        <v>108</v>
      </c>
      <c r="C8" s="15">
        <v>0.15</v>
      </c>
      <c r="D8" s="16" t="s">
        <v>109</v>
      </c>
      <c r="E8" s="16" t="s">
        <v>110</v>
      </c>
      <c r="F8" s="19"/>
      <c r="G8" s="4"/>
      <c r="H8" s="17"/>
      <c r="I8" s="4">
        <v>0</v>
      </c>
      <c r="J8" s="4">
        <v>0</v>
      </c>
      <c r="K8" s="17"/>
      <c r="L8" s="17"/>
    </row>
    <row r="9" ht="72" customHeight="1" spans="1:12">
      <c r="A9" s="13" t="s">
        <v>46</v>
      </c>
      <c r="B9" s="14" t="s">
        <v>47</v>
      </c>
      <c r="C9" s="15">
        <v>0.1</v>
      </c>
      <c r="D9" s="16" t="s">
        <v>87</v>
      </c>
      <c r="E9" s="16" t="s">
        <v>49</v>
      </c>
      <c r="F9" s="16" t="s">
        <v>50</v>
      </c>
      <c r="G9" s="4"/>
      <c r="H9" s="17"/>
      <c r="I9" s="4">
        <v>0</v>
      </c>
      <c r="J9" s="4">
        <v>0</v>
      </c>
      <c r="K9" s="17"/>
      <c r="L9" s="17"/>
    </row>
    <row r="10" ht="72" customHeight="1" spans="1:12">
      <c r="A10" s="18"/>
      <c r="B10" s="14" t="s">
        <v>88</v>
      </c>
      <c r="C10" s="15">
        <v>0.1</v>
      </c>
      <c r="D10" s="16" t="s">
        <v>89</v>
      </c>
      <c r="E10" s="16" t="s">
        <v>90</v>
      </c>
      <c r="F10" s="19"/>
      <c r="G10" s="4"/>
      <c r="H10" s="17"/>
      <c r="I10" s="4">
        <v>0</v>
      </c>
      <c r="J10" s="4">
        <v>0</v>
      </c>
      <c r="K10" s="17"/>
      <c r="L10" s="17"/>
    </row>
    <row r="11" ht="200" customHeight="1" spans="1:12">
      <c r="A11" s="13" t="s">
        <v>54</v>
      </c>
      <c r="B11" s="18"/>
      <c r="C11" s="4" t="s">
        <v>55</v>
      </c>
      <c r="D11" s="16" t="s">
        <v>56</v>
      </c>
      <c r="E11" s="16" t="s">
        <v>57</v>
      </c>
      <c r="F11" s="16" t="s">
        <v>58</v>
      </c>
      <c r="G11" s="9"/>
      <c r="H11" s="9"/>
      <c r="I11" s="4">
        <v>0</v>
      </c>
      <c r="J11" s="4" t="s">
        <v>55</v>
      </c>
      <c r="K11" s="9"/>
      <c r="L11" s="9"/>
    </row>
    <row r="12" ht="60" customHeight="1" spans="1:12">
      <c r="A12" s="13" t="s">
        <v>59</v>
      </c>
      <c r="B12" s="18"/>
      <c r="C12" s="4" t="s">
        <v>55</v>
      </c>
      <c r="D12" s="16" t="s">
        <v>60</v>
      </c>
      <c r="E12" s="16" t="s">
        <v>61</v>
      </c>
      <c r="F12" s="16" t="s">
        <v>62</v>
      </c>
      <c r="G12" s="9"/>
      <c r="H12" s="9"/>
      <c r="I12" s="4" t="s">
        <v>55</v>
      </c>
      <c r="J12" s="4" t="s">
        <v>55</v>
      </c>
      <c r="K12" s="9"/>
      <c r="L12" s="9"/>
    </row>
    <row r="13" ht="30" customHeight="1" spans="1:12">
      <c r="A13" s="3" t="s">
        <v>63</v>
      </c>
      <c r="B13" s="9"/>
      <c r="C13" s="9"/>
      <c r="D13" s="3">
        <f>(I3+I4+I5+I6+I7+I8+I9+I10)*0.8+(J3+J4+J5+J6+J7+J8+J9+J10)*0.2+I11</f>
        <v>0</v>
      </c>
      <c r="E13" s="9"/>
      <c r="F13" s="9"/>
      <c r="G13" s="9"/>
      <c r="H13" s="9"/>
      <c r="I13" s="9"/>
      <c r="J13" s="9"/>
      <c r="K13" s="9"/>
      <c r="L13" s="9"/>
    </row>
    <row r="14" ht="25" customHeight="1" spans="1:12">
      <c r="A14" s="20" t="s">
        <v>64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ht="25" customHeight="1" spans="1:1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ht="25" customHeight="1" spans="1:12">
      <c r="A16" s="20" t="s">
        <v>65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ht="25" customHeight="1" spans="1:1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</sheetData>
  <mergeCells count="15">
    <mergeCell ref="A1:L1"/>
    <mergeCell ref="A11:B11"/>
    <mergeCell ref="A12:B12"/>
    <mergeCell ref="A13:C13"/>
    <mergeCell ref="D13:L13"/>
    <mergeCell ref="A14:L14"/>
    <mergeCell ref="A15:L15"/>
    <mergeCell ref="A16:L16"/>
    <mergeCell ref="A17:L17"/>
    <mergeCell ref="A3:A5"/>
    <mergeCell ref="A6:A8"/>
    <mergeCell ref="A9:A10"/>
    <mergeCell ref="F3:F5"/>
    <mergeCell ref="F6:F8"/>
    <mergeCell ref="F9:F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8"/>
  <sheetViews>
    <sheetView workbookViewId="0">
      <selection activeCell="G11" sqref="G11"/>
    </sheetView>
  </sheetViews>
  <sheetFormatPr defaultColWidth="8" defaultRowHeight="13.85" outlineLevelCol="4"/>
  <cols>
    <col min="1" max="1" width="20" customWidth="1"/>
    <col min="2" max="2" width="25" customWidth="1"/>
    <col min="3" max="3" width="15" customWidth="1"/>
    <col min="4" max="4" width="40" customWidth="1"/>
    <col min="5" max="5" width="25" customWidth="1"/>
  </cols>
  <sheetData>
    <row r="1" ht="40" customHeight="1" spans="1:5">
      <c r="A1" s="1" t="s">
        <v>111</v>
      </c>
      <c r="B1" s="2"/>
      <c r="C1" s="2"/>
      <c r="D1" s="2"/>
      <c r="E1" s="2"/>
    </row>
    <row r="2" ht="28" customHeight="1" spans="1:5">
      <c r="A2" s="3" t="s">
        <v>112</v>
      </c>
      <c r="B2" s="4" t="s">
        <v>113</v>
      </c>
      <c r="C2" s="3" t="s">
        <v>114</v>
      </c>
      <c r="D2" s="4" t="s">
        <v>115</v>
      </c>
      <c r="E2" s="3" t="s">
        <v>116</v>
      </c>
    </row>
    <row r="3" ht="28" customHeight="1" spans="1:5">
      <c r="A3" s="3" t="s">
        <v>117</v>
      </c>
      <c r="B3" s="4" t="s">
        <v>113</v>
      </c>
      <c r="C3" s="3" t="s">
        <v>118</v>
      </c>
      <c r="D3" s="4" t="s">
        <v>119</v>
      </c>
      <c r="E3" s="4" t="s">
        <v>120</v>
      </c>
    </row>
    <row r="4" ht="28" customHeight="1" spans="1:5">
      <c r="A4" s="3" t="s">
        <v>121</v>
      </c>
      <c r="B4" s="4" t="s">
        <v>122</v>
      </c>
      <c r="C4" s="3" t="s">
        <v>123</v>
      </c>
      <c r="D4" s="4" t="s">
        <v>113</v>
      </c>
      <c r="E4" s="4"/>
    </row>
    <row r="5" spans="1:5">
      <c r="A5" s="5"/>
      <c r="B5" s="5"/>
      <c r="C5" s="5"/>
      <c r="D5" s="5"/>
      <c r="E5" s="5"/>
    </row>
    <row r="6" ht="28" customHeight="1" spans="1:5">
      <c r="A6" s="6" t="s">
        <v>124</v>
      </c>
      <c r="B6" s="7"/>
      <c r="C6" s="7"/>
      <c r="D6" s="7"/>
      <c r="E6" s="7"/>
    </row>
    <row r="7" ht="28" customHeight="1" spans="1:5">
      <c r="A7" s="8" t="s">
        <v>125</v>
      </c>
      <c r="B7" s="8" t="s">
        <v>126</v>
      </c>
      <c r="C7" s="8" t="s">
        <v>18</v>
      </c>
      <c r="D7" s="8" t="s">
        <v>127</v>
      </c>
      <c r="E7" s="8" t="s">
        <v>26</v>
      </c>
    </row>
    <row r="8" ht="28" customHeight="1" spans="1:5">
      <c r="A8" s="4" t="s">
        <v>128</v>
      </c>
      <c r="B8" s="4">
        <f>第一个月考核表!D12</f>
        <v>0</v>
      </c>
      <c r="C8" s="4">
        <v>0.3</v>
      </c>
      <c r="D8" s="4">
        <f>B8*C8</f>
        <v>0</v>
      </c>
      <c r="E8" s="4" t="s">
        <v>129</v>
      </c>
    </row>
    <row r="9" ht="28" customHeight="1" spans="1:5">
      <c r="A9" s="4" t="s">
        <v>130</v>
      </c>
      <c r="B9" s="4">
        <f>第二个月考核表!D13</f>
        <v>0</v>
      </c>
      <c r="C9" s="4">
        <v>0.3</v>
      </c>
      <c r="D9" s="4">
        <f>B9*C9</f>
        <v>0</v>
      </c>
      <c r="E9" s="4" t="s">
        <v>131</v>
      </c>
    </row>
    <row r="10" ht="28" customHeight="1" spans="1:5">
      <c r="A10" s="4" t="s">
        <v>132</v>
      </c>
      <c r="B10" s="4">
        <f>第三个月考核表!D13</f>
        <v>0</v>
      </c>
      <c r="C10" s="4">
        <v>0.4</v>
      </c>
      <c r="D10" s="4">
        <f>B10*C10</f>
        <v>0</v>
      </c>
      <c r="E10" s="4" t="s">
        <v>133</v>
      </c>
    </row>
    <row r="11" ht="30" customHeight="1" spans="1:5">
      <c r="A11" s="3" t="s">
        <v>134</v>
      </c>
      <c r="B11" s="3">
        <f>SUM(D8:D10)</f>
        <v>0</v>
      </c>
      <c r="C11" s="9"/>
      <c r="D11" s="9"/>
      <c r="E11" s="9"/>
    </row>
    <row r="12" spans="1:5">
      <c r="A12" s="5"/>
      <c r="B12" s="5"/>
      <c r="C12" s="5"/>
      <c r="D12" s="5"/>
      <c r="E12" s="5"/>
    </row>
    <row r="13" ht="28" customHeight="1" spans="1:5">
      <c r="A13" s="6" t="s">
        <v>135</v>
      </c>
      <c r="B13" s="7"/>
      <c r="C13" s="7"/>
      <c r="D13" s="7"/>
      <c r="E13" s="7"/>
    </row>
    <row r="14" ht="28" customHeight="1" spans="1:5">
      <c r="A14" s="8" t="s">
        <v>136</v>
      </c>
      <c r="B14" s="8" t="s">
        <v>137</v>
      </c>
      <c r="C14" s="8" t="s">
        <v>138</v>
      </c>
      <c r="D14" s="8" t="s">
        <v>139</v>
      </c>
      <c r="E14" s="8" t="s">
        <v>140</v>
      </c>
    </row>
    <row r="15" ht="35" customHeight="1" spans="1:5">
      <c r="A15" s="3" t="s">
        <v>141</v>
      </c>
      <c r="B15" s="4" t="s">
        <v>142</v>
      </c>
      <c r="C15" s="4" t="s">
        <v>143</v>
      </c>
      <c r="D15" s="4" t="s">
        <v>144</v>
      </c>
      <c r="E15" s="4" t="s">
        <v>145</v>
      </c>
    </row>
    <row r="16" ht="35" customHeight="1" spans="1:5">
      <c r="A16" s="3" t="s">
        <v>146</v>
      </c>
      <c r="B16" s="4" t="s">
        <v>147</v>
      </c>
      <c r="C16" s="4" t="s">
        <v>148</v>
      </c>
      <c r="D16" s="4" t="s">
        <v>149</v>
      </c>
      <c r="E16" s="4" t="s">
        <v>145</v>
      </c>
    </row>
    <row r="17" ht="35" customHeight="1" spans="1:5">
      <c r="A17" s="3" t="s">
        <v>150</v>
      </c>
      <c r="B17" s="4" t="s">
        <v>151</v>
      </c>
      <c r="C17" s="4" t="s">
        <v>152</v>
      </c>
      <c r="D17" s="4" t="s">
        <v>153</v>
      </c>
      <c r="E17" s="4" t="s">
        <v>145</v>
      </c>
    </row>
    <row r="18" ht="35" customHeight="1" spans="1:5">
      <c r="A18" s="3" t="s">
        <v>154</v>
      </c>
      <c r="B18" s="4" t="s">
        <v>155</v>
      </c>
      <c r="C18" s="4" t="s">
        <v>156</v>
      </c>
      <c r="D18" s="4" t="s">
        <v>157</v>
      </c>
      <c r="E18" s="4" t="s">
        <v>145</v>
      </c>
    </row>
  </sheetData>
  <mergeCells count="4">
    <mergeCell ref="A1:E1"/>
    <mergeCell ref="A6:E6"/>
    <mergeCell ref="B11:C11"/>
    <mergeCell ref="A13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录用条件说明</vt:lpstr>
      <vt:lpstr>第一个月考核表</vt:lpstr>
      <vt:lpstr>第二个月考核表</vt:lpstr>
      <vt:lpstr>第三个月考核表</vt:lpstr>
      <vt:lpstr>试用期综合评定表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史颖琳Helen</cp:lastModifiedBy>
  <dcterms:created xsi:type="dcterms:W3CDTF">2026-07-31T08:34:00Z</dcterms:created>
  <dcterms:modified xsi:type="dcterms:W3CDTF">2026-08-03T03:54:32Z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{"Label":"1","ContentProducer":"001191110102MACQD9K64010000","ProduceID":"7668607699085315364","ReservedCode1":"","ContentPropagator":"","PropagateID":"","ReservedCode2":""}</vt:lpwstr>
  </property>
  <property fmtid="{D5CDD505-2E9C-101B-9397-08002B2CF9AE}" pid="3" name="ICV">
    <vt:lpwstr>4168D2E8D5654827A067B1C0FDD78FF5_13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