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cheng\Desktop\"/>
    </mc:Choice>
  </mc:AlternateContent>
  <xr:revisionPtr revIDLastSave="0" documentId="13_ncr:1_{39DF9E9A-D9B9-44A8-B6FE-771F08BE3C33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资产负债表" sheetId="1" r:id="rId1"/>
    <sheet name="利润表" sheetId="2" r:id="rId2"/>
    <sheet name="现金流量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5" i="1" l="1"/>
  <c r="B34" i="1" s="1"/>
  <c r="B16" i="1"/>
  <c r="F15" i="1"/>
  <c r="F22" i="1" s="1"/>
  <c r="E15" i="1"/>
  <c r="E22" i="1" s="1"/>
  <c r="C19" i="1"/>
  <c r="C34" i="1"/>
  <c r="E34" i="1"/>
  <c r="C23" i="3"/>
  <c r="C25" i="3" s="1"/>
  <c r="C18" i="3"/>
  <c r="C11" i="3"/>
  <c r="C23" i="2"/>
  <c r="C32" i="2" s="1"/>
  <c r="C34" i="2" s="1"/>
  <c r="F34" i="1"/>
  <c r="C26" i="3" l="1"/>
  <c r="C28" i="3" s="1"/>
  <c r="B5" i="1" s="1"/>
  <c r="B19" i="1" s="1"/>
  <c r="B35" i="1" s="1"/>
  <c r="F35" i="1"/>
  <c r="C35" i="1"/>
  <c r="E35" i="1"/>
</calcChain>
</file>

<file path=xl/sharedStrings.xml><?xml version="1.0" encoding="utf-8"?>
<sst xmlns="http://schemas.openxmlformats.org/spreadsheetml/2006/main" count="225" uniqueCount="162">
  <si>
    <t>资产负债表</t>
  </si>
  <si>
    <t>公司名称: 北京中能时代科技集团有限公司</t>
  </si>
  <si>
    <t>资  产</t>
  </si>
  <si>
    <t>期末余额</t>
  </si>
  <si>
    <t>年初余额</t>
  </si>
  <si>
    <t>负债及所有者权益(或股东权益)</t>
  </si>
  <si>
    <t>流动资产：</t>
  </si>
  <si>
    <t/>
  </si>
  <si>
    <t>流动负债：</t>
  </si>
  <si>
    <t xml:space="preserve">    货币资金</t>
  </si>
  <si>
    <t xml:space="preserve">    短期借款</t>
  </si>
  <si>
    <t xml:space="preserve">    短期投资</t>
  </si>
  <si>
    <t xml:space="preserve">    应付票据</t>
  </si>
  <si>
    <t xml:space="preserve">    应收票据</t>
  </si>
  <si>
    <t xml:space="preserve">    应付账款</t>
  </si>
  <si>
    <t xml:space="preserve">    应收账款</t>
  </si>
  <si>
    <t xml:space="preserve">    预收账款</t>
  </si>
  <si>
    <t xml:space="preserve">    预付账款</t>
  </si>
  <si>
    <t xml:space="preserve">    应付职工薪酬</t>
  </si>
  <si>
    <t xml:space="preserve">    应收股利</t>
  </si>
  <si>
    <t xml:space="preserve">    应交税费</t>
  </si>
  <si>
    <t xml:space="preserve">    应收利息 </t>
  </si>
  <si>
    <t xml:space="preserve">    应付利息</t>
  </si>
  <si>
    <t xml:space="preserve">    其他应收款</t>
  </si>
  <si>
    <t xml:space="preserve">    应付利润</t>
  </si>
  <si>
    <t xml:space="preserve">    存货</t>
  </si>
  <si>
    <t xml:space="preserve">    其他应付款</t>
  </si>
  <si>
    <t xml:space="preserve">        其中：原材料</t>
  </si>
  <si>
    <t xml:space="preserve">    其他流动负债</t>
  </si>
  <si>
    <t xml:space="preserve">                   在产品</t>
  </si>
  <si>
    <t xml:space="preserve">        流动负债合计</t>
  </si>
  <si>
    <t xml:space="preserve">                   库存商品</t>
  </si>
  <si>
    <t>非流动负债：</t>
  </si>
  <si>
    <t xml:space="preserve">                   周转材料</t>
  </si>
  <si>
    <t xml:space="preserve">    长期借款</t>
  </si>
  <si>
    <t xml:space="preserve">    其他流动资产</t>
  </si>
  <si>
    <t xml:space="preserve">    长期应付款</t>
  </si>
  <si>
    <t xml:space="preserve">        流动资产合计</t>
  </si>
  <si>
    <t xml:space="preserve">    递延收益</t>
  </si>
  <si>
    <t>非流动资产：</t>
  </si>
  <si>
    <t xml:space="preserve">    其他非流动负债</t>
  </si>
  <si>
    <t xml:space="preserve">    长期债券投资</t>
  </si>
  <si>
    <t xml:space="preserve">        非流动负债合计</t>
  </si>
  <si>
    <t xml:space="preserve">    长期股权投资</t>
  </si>
  <si>
    <t xml:space="preserve">            负债合计</t>
  </si>
  <si>
    <t xml:space="preserve">    固定资产原价</t>
  </si>
  <si>
    <t xml:space="preserve">    减：累计折旧</t>
  </si>
  <si>
    <t xml:space="preserve">    固定资产账面价值</t>
  </si>
  <si>
    <t xml:space="preserve">    在建工程</t>
  </si>
  <si>
    <t xml:space="preserve">    工程物资</t>
  </si>
  <si>
    <t xml:space="preserve">    固定资产清理</t>
  </si>
  <si>
    <t xml:space="preserve">    生产性生物资产</t>
  </si>
  <si>
    <t>所有者权益（或股东权益）：</t>
  </si>
  <si>
    <t xml:space="preserve">    无形资产</t>
  </si>
  <si>
    <t xml:space="preserve">    实收资本（或股本）</t>
  </si>
  <si>
    <t xml:space="preserve">    开发支出</t>
  </si>
  <si>
    <t xml:space="preserve">    资本公积</t>
  </si>
  <si>
    <t xml:space="preserve">    长期待摊费用</t>
  </si>
  <si>
    <t xml:space="preserve">    盈余公积</t>
  </si>
  <si>
    <t xml:space="preserve">    其他非流动资产</t>
  </si>
  <si>
    <t xml:space="preserve">    未分配利润</t>
  </si>
  <si>
    <t xml:space="preserve">        非流动资产合计</t>
  </si>
  <si>
    <t xml:space="preserve">          所有者权益（或股东权益）合计</t>
  </si>
  <si>
    <t xml:space="preserve">            资产总计</t>
  </si>
  <si>
    <t>负债和所有者权益（或股东权益）总计</t>
  </si>
  <si>
    <t>利润表</t>
  </si>
  <si>
    <t>企业名称:北京中能时代科技集团有限公司</t>
  </si>
  <si>
    <t>金额单位:元</t>
  </si>
  <si>
    <t>项目</t>
  </si>
  <si>
    <t>行次</t>
  </si>
  <si>
    <t>本年累计金额</t>
  </si>
  <si>
    <t>一、营业收入</t>
  </si>
  <si>
    <t>1</t>
  </si>
  <si>
    <t>减：营业成本</t>
  </si>
  <si>
    <t>2</t>
  </si>
  <si>
    <t xml:space="preserve">        税金及附加</t>
  </si>
  <si>
    <t>3</t>
  </si>
  <si>
    <t xml:space="preserve">             其中：消费税</t>
  </si>
  <si>
    <t>4</t>
  </si>
  <si>
    <t>5</t>
  </si>
  <si>
    <t>6</t>
  </si>
  <si>
    <t>7</t>
  </si>
  <si>
    <t>8</t>
  </si>
  <si>
    <t>9</t>
  </si>
  <si>
    <t xml:space="preserve">        销售费用</t>
  </si>
  <si>
    <t>10</t>
  </si>
  <si>
    <t xml:space="preserve">            其中：商品维修费</t>
  </si>
  <si>
    <t>11</t>
  </si>
  <si>
    <t xml:space="preserve">                         广告费和业务宣传费</t>
  </si>
  <si>
    <t>12</t>
  </si>
  <si>
    <t xml:space="preserve">        管理费用</t>
  </si>
  <si>
    <t>13</t>
  </si>
  <si>
    <t xml:space="preserve">            其中：开办费</t>
  </si>
  <si>
    <t>14</t>
  </si>
  <si>
    <t xml:space="preserve">                        业务招待费</t>
  </si>
  <si>
    <t>15</t>
  </si>
  <si>
    <t xml:space="preserve">                        研究费用</t>
  </si>
  <si>
    <t>16</t>
  </si>
  <si>
    <t xml:space="preserve">        财务费用</t>
  </si>
  <si>
    <t>17</t>
  </si>
  <si>
    <t xml:space="preserve">            其中：利息费用（收入以“-”号填列</t>
  </si>
  <si>
    <t>18</t>
  </si>
  <si>
    <t>加：投资收益（损失以“-”号填列）</t>
  </si>
  <si>
    <t>19</t>
  </si>
  <si>
    <t>二、营业利润（亏损以“-”号填列）</t>
  </si>
  <si>
    <t>20</t>
  </si>
  <si>
    <t>加：营业外收入</t>
  </si>
  <si>
    <t>21</t>
  </si>
  <si>
    <t xml:space="preserve">            其中：政府补助</t>
  </si>
  <si>
    <t>22</t>
  </si>
  <si>
    <t>减：营业外支出</t>
  </si>
  <si>
    <t>23</t>
  </si>
  <si>
    <t xml:space="preserve">            其中：坏账损失</t>
  </si>
  <si>
    <t>24</t>
  </si>
  <si>
    <t>25</t>
  </si>
  <si>
    <t>26</t>
  </si>
  <si>
    <t>27</t>
  </si>
  <si>
    <t>28</t>
  </si>
  <si>
    <t>三、利润总额（亏损以“-”号填列）</t>
  </si>
  <si>
    <t>29</t>
  </si>
  <si>
    <t>减：所得税费用</t>
  </si>
  <si>
    <t>30</t>
  </si>
  <si>
    <t>四、净利润（净亏损以“-”号填列）</t>
  </si>
  <si>
    <t>31</t>
  </si>
  <si>
    <t>现金流量表</t>
  </si>
  <si>
    <t>一、经营活动产生的现金流量：</t>
  </si>
  <si>
    <t xml:space="preserve">              销售产成品、商品、提供劳务收到的现金</t>
  </si>
  <si>
    <t xml:space="preserve">              收到其他与经营活动有关的现金</t>
  </si>
  <si>
    <t xml:space="preserve">              购买原材料、商品、接受劳务支付的现金</t>
  </si>
  <si>
    <t xml:space="preserve">              支付的职工薪酬</t>
  </si>
  <si>
    <t xml:space="preserve">              支付的税费</t>
  </si>
  <si>
    <t xml:space="preserve">              支付其他与经营活动有关的现金</t>
  </si>
  <si>
    <t xml:space="preserve">                   经营活动产生的现金流量净额</t>
  </si>
  <si>
    <t>二、投资活动产生的现金流量：</t>
  </si>
  <si>
    <t xml:space="preserve">              收回短期投资、长期债券投资和长期股权投资收到的现金</t>
  </si>
  <si>
    <t xml:space="preserve">              取得投资收益收到的现金</t>
  </si>
  <si>
    <t xml:space="preserve">              处置固定资产、无形资产和其他非流动资产收回的现金净额</t>
  </si>
  <si>
    <t xml:space="preserve">              短期投资、长期债券投资和长期股权投资支付的现金</t>
  </si>
  <si>
    <t xml:space="preserve">              购建固定资产、无形资产和其他非流动资产支付的现金</t>
  </si>
  <si>
    <t xml:space="preserve">                   投资活动产生的现金流量净额</t>
  </si>
  <si>
    <t>三、筹资活动产生的现金流量：</t>
  </si>
  <si>
    <t xml:space="preserve">              取得借款收到的现金</t>
  </si>
  <si>
    <t xml:space="preserve">              吸收投资者投资收到的现金</t>
  </si>
  <si>
    <t xml:space="preserve">              偿还借款本金支付的现金</t>
  </si>
  <si>
    <t xml:space="preserve">              偿还借款利息支付的现金</t>
  </si>
  <si>
    <t xml:space="preserve">              分配利润支付的现金</t>
  </si>
  <si>
    <t xml:space="preserve">                   筹资活动产生的现金流量净额</t>
  </si>
  <si>
    <t>四、现金净增加额</t>
  </si>
  <si>
    <t>加：期初现金余额</t>
  </si>
  <si>
    <t>五、期末现金余额</t>
  </si>
  <si>
    <t>会计期间:2025-12</t>
    <phoneticPr fontId="3" type="noConversion"/>
  </si>
  <si>
    <t>会计期间: 2025-12</t>
    <phoneticPr fontId="2" type="noConversion"/>
  </si>
  <si>
    <t>金额单位:元</t>
    <phoneticPr fontId="2" type="noConversion"/>
  </si>
  <si>
    <t xml:space="preserve">                   城市维护建设税</t>
    <phoneticPr fontId="3" type="noConversion"/>
  </si>
  <si>
    <t xml:space="preserve">                   资源税</t>
    <phoneticPr fontId="3" type="noConversion"/>
  </si>
  <si>
    <t xml:space="preserve">                   土地增值税</t>
    <phoneticPr fontId="3" type="noConversion"/>
  </si>
  <si>
    <t xml:space="preserve">                   城镇土地使用税、房产税、车船税、印花税</t>
    <phoneticPr fontId="3" type="noConversion"/>
  </si>
  <si>
    <t xml:space="preserve">                   教育费附加、矿产资源补偿费、排污费</t>
    <phoneticPr fontId="3" type="noConversion"/>
  </si>
  <si>
    <t xml:space="preserve">                  无法收回的长期债券投资损失</t>
    <phoneticPr fontId="3" type="noConversion"/>
  </si>
  <si>
    <t xml:space="preserve">                  无法收回的长期股权投资损失</t>
    <phoneticPr fontId="3" type="noConversion"/>
  </si>
  <si>
    <t xml:space="preserve">                  自然灾害等不可抗力因素造成的损失</t>
    <phoneticPr fontId="3" type="noConversion"/>
  </si>
  <si>
    <t xml:space="preserve">                  税收滞纳金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</si>
</sst>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7" x14ac:knownFonts="1">
    <font>
      <sz val="11"/>
      <color theme="1"/>
      <name val="宋体"/>
      <charset val="134"/>
      <scheme val="minor"/>
    </font>
    <font>
      <sz val="12"/>
      <name val="宋体"/>
      <charset val="134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b/>
      <sz val="14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2" xfId="0" applyFont="1" applyBorder="1">
      <alignment vertical="center"/>
    </xf>
    <xf numFmtId="4" fontId="5" fillId="0" borderId="2" xfId="0" applyNumberFormat="1" applyFont="1" applyBorder="1" applyAlignment="1">
      <alignment horizontal="right" vertical="center"/>
    </xf>
    <xf numFmtId="0" fontId="5" fillId="2" borderId="2" xfId="0" applyFont="1" applyFill="1" applyBorder="1">
      <alignment vertical="center"/>
    </xf>
    <xf numFmtId="4" fontId="5" fillId="2" borderId="2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right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43" fontId="5" fillId="0" borderId="0" xfId="0" applyNumberFormat="1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6"/>
  <sheetViews>
    <sheetView workbookViewId="0">
      <selection activeCell="A14" sqref="A14"/>
    </sheetView>
  </sheetViews>
  <sheetFormatPr defaultColWidth="9" defaultRowHeight="15.6" x14ac:dyDescent="0.25"/>
  <cols>
    <col min="1" max="1" width="37" style="1" customWidth="1"/>
    <col min="2" max="3" width="21.5546875" style="1" customWidth="1"/>
    <col min="4" max="4" width="37" style="1" customWidth="1"/>
    <col min="5" max="6" width="21.5546875" style="1" customWidth="1"/>
    <col min="7" max="8" width="13.77734375" style="1"/>
    <col min="9" max="9" width="12.6640625" style="1"/>
    <col min="10" max="16384" width="9" style="1"/>
  </cols>
  <sheetData>
    <row r="1" spans="1:6" s="2" customFormat="1" ht="18.600000000000001" customHeight="1" x14ac:dyDescent="0.25">
      <c r="A1" s="12" t="s">
        <v>0</v>
      </c>
      <c r="B1" s="12"/>
      <c r="C1" s="12"/>
      <c r="D1" s="12"/>
      <c r="E1" s="12"/>
      <c r="F1" s="12"/>
    </row>
    <row r="2" spans="1:6" s="2" customFormat="1" ht="18.600000000000001" customHeight="1" x14ac:dyDescent="0.25">
      <c r="A2" s="3" t="s">
        <v>1</v>
      </c>
      <c r="B2" s="4"/>
      <c r="C2" s="4"/>
      <c r="D2" s="5" t="s">
        <v>151</v>
      </c>
      <c r="E2" s="13" t="s">
        <v>152</v>
      </c>
      <c r="F2" s="13"/>
    </row>
    <row r="3" spans="1:6" s="2" customFormat="1" ht="18.600000000000001" customHeight="1" x14ac:dyDescent="0.25">
      <c r="A3" s="6" t="s">
        <v>2</v>
      </c>
      <c r="B3" s="6" t="s">
        <v>3</v>
      </c>
      <c r="C3" s="6" t="s">
        <v>4</v>
      </c>
      <c r="D3" s="6" t="s">
        <v>5</v>
      </c>
      <c r="E3" s="7" t="s">
        <v>3</v>
      </c>
      <c r="F3" s="6" t="s">
        <v>4</v>
      </c>
    </row>
    <row r="4" spans="1:6" s="2" customFormat="1" ht="18.600000000000001" customHeight="1" x14ac:dyDescent="0.25">
      <c r="A4" s="8" t="s">
        <v>6</v>
      </c>
      <c r="B4" s="9" t="s">
        <v>7</v>
      </c>
      <c r="C4" s="9" t="s">
        <v>7</v>
      </c>
      <c r="D4" s="8" t="s">
        <v>8</v>
      </c>
      <c r="E4" s="9" t="s">
        <v>7</v>
      </c>
      <c r="F4" s="9" t="s">
        <v>7</v>
      </c>
    </row>
    <row r="5" spans="1:6" s="2" customFormat="1" ht="18.600000000000001" customHeight="1" x14ac:dyDescent="0.25">
      <c r="A5" s="8" t="s">
        <v>9</v>
      </c>
      <c r="B5" s="9">
        <f>现金流量表!C28</f>
        <v>8271730.2199999979</v>
      </c>
      <c r="C5" s="9">
        <v>9372504.8499999996</v>
      </c>
      <c r="D5" s="8" t="s">
        <v>10</v>
      </c>
      <c r="E5" s="9">
        <v>3000000</v>
      </c>
      <c r="F5" s="9">
        <v>0</v>
      </c>
    </row>
    <row r="6" spans="1:6" s="2" customFormat="1" ht="18.600000000000001" customHeight="1" x14ac:dyDescent="0.25">
      <c r="A6" s="8" t="s">
        <v>11</v>
      </c>
      <c r="B6" s="9">
        <v>0</v>
      </c>
      <c r="C6" s="9">
        <v>0</v>
      </c>
      <c r="D6" s="8" t="s">
        <v>12</v>
      </c>
      <c r="E6" s="9">
        <v>0</v>
      </c>
      <c r="F6" s="9">
        <v>0</v>
      </c>
    </row>
    <row r="7" spans="1:6" s="2" customFormat="1" ht="18.600000000000001" customHeight="1" x14ac:dyDescent="0.25">
      <c r="A7" s="8" t="s">
        <v>13</v>
      </c>
      <c r="B7" s="9">
        <v>0</v>
      </c>
      <c r="C7" s="9">
        <v>0</v>
      </c>
      <c r="D7" s="8" t="s">
        <v>14</v>
      </c>
      <c r="E7" s="9">
        <v>5509823.3200000003</v>
      </c>
      <c r="F7" s="9">
        <v>9008482.729999993</v>
      </c>
    </row>
    <row r="8" spans="1:6" s="2" customFormat="1" ht="18.600000000000001" customHeight="1" x14ac:dyDescent="0.25">
      <c r="A8" s="8" t="s">
        <v>15</v>
      </c>
      <c r="B8" s="9">
        <v>2365891.4500000002</v>
      </c>
      <c r="C8" s="9">
        <v>1743991.52</v>
      </c>
      <c r="D8" s="8" t="s">
        <v>16</v>
      </c>
      <c r="E8" s="9">
        <v>75003.23</v>
      </c>
      <c r="F8" s="9">
        <v>78472.179999999993</v>
      </c>
    </row>
    <row r="9" spans="1:6" s="2" customFormat="1" ht="18.600000000000001" customHeight="1" x14ac:dyDescent="0.25">
      <c r="A9" s="8" t="s">
        <v>17</v>
      </c>
      <c r="B9" s="9">
        <v>1576231.54</v>
      </c>
      <c r="C9" s="9">
        <v>2241889.1800000002</v>
      </c>
      <c r="D9" s="8" t="s">
        <v>18</v>
      </c>
      <c r="E9" s="9">
        <v>830067.24</v>
      </c>
      <c r="F9" s="9">
        <v>1270564.72</v>
      </c>
    </row>
    <row r="10" spans="1:6" s="2" customFormat="1" ht="18.600000000000001" customHeight="1" x14ac:dyDescent="0.25">
      <c r="A10" s="8" t="s">
        <v>19</v>
      </c>
      <c r="B10" s="9">
        <v>0</v>
      </c>
      <c r="C10" s="9">
        <v>0</v>
      </c>
      <c r="D10" s="8" t="s">
        <v>20</v>
      </c>
      <c r="E10" s="9">
        <v>3150</v>
      </c>
      <c r="F10" s="9">
        <v>-217581.62</v>
      </c>
    </row>
    <row r="11" spans="1:6" s="2" customFormat="1" ht="18.600000000000001" customHeight="1" x14ac:dyDescent="0.25">
      <c r="A11" s="8" t="s">
        <v>21</v>
      </c>
      <c r="B11" s="9">
        <v>0</v>
      </c>
      <c r="C11" s="9">
        <v>0</v>
      </c>
      <c r="D11" s="8" t="s">
        <v>22</v>
      </c>
      <c r="E11" s="9">
        <v>0</v>
      </c>
      <c r="F11" s="9">
        <v>0</v>
      </c>
    </row>
    <row r="12" spans="1:6" s="2" customFormat="1" ht="18.600000000000001" customHeight="1" x14ac:dyDescent="0.25">
      <c r="A12" s="8" t="s">
        <v>23</v>
      </c>
      <c r="B12" s="9">
        <v>3195642.79</v>
      </c>
      <c r="C12" s="9">
        <v>1016777.84</v>
      </c>
      <c r="D12" s="8" t="s">
        <v>24</v>
      </c>
      <c r="E12" s="9">
        <v>0</v>
      </c>
      <c r="F12" s="9">
        <v>0</v>
      </c>
    </row>
    <row r="13" spans="1:6" s="2" customFormat="1" ht="18.600000000000001" customHeight="1" x14ac:dyDescent="0.25">
      <c r="A13" s="8" t="s">
        <v>25</v>
      </c>
      <c r="B13" s="9">
        <v>578936.12</v>
      </c>
      <c r="C13" s="9">
        <v>185131.41</v>
      </c>
      <c r="D13" s="8" t="s">
        <v>26</v>
      </c>
      <c r="E13" s="9">
        <v>2387943.5699999998</v>
      </c>
      <c r="F13" s="9">
        <v>1951080.88</v>
      </c>
    </row>
    <row r="14" spans="1:6" s="2" customFormat="1" ht="18.600000000000001" customHeight="1" x14ac:dyDescent="0.25">
      <c r="A14" s="8" t="s">
        <v>27</v>
      </c>
      <c r="B14" s="9">
        <v>0</v>
      </c>
      <c r="C14" s="9">
        <v>0</v>
      </c>
      <c r="D14" s="8" t="s">
        <v>28</v>
      </c>
      <c r="E14" s="9"/>
      <c r="F14" s="9"/>
    </row>
    <row r="15" spans="1:6" s="2" customFormat="1" ht="18.600000000000001" customHeight="1" x14ac:dyDescent="0.25">
      <c r="A15" s="8" t="s">
        <v>29</v>
      </c>
      <c r="B15" s="9">
        <v>0</v>
      </c>
      <c r="C15" s="9">
        <v>0</v>
      </c>
      <c r="D15" s="10" t="s">
        <v>30</v>
      </c>
      <c r="E15" s="11">
        <f>SUM(E5:E14)</f>
        <v>11805987.360000001</v>
      </c>
      <c r="F15" s="11">
        <f>SUM(F5:F14)</f>
        <v>12091018.889999993</v>
      </c>
    </row>
    <row r="16" spans="1:6" s="2" customFormat="1" ht="18.600000000000001" customHeight="1" x14ac:dyDescent="0.25">
      <c r="A16" s="8" t="s">
        <v>31</v>
      </c>
      <c r="B16" s="9">
        <f>B13</f>
        <v>578936.12</v>
      </c>
      <c r="C16" s="9">
        <v>185131.41</v>
      </c>
      <c r="D16" s="8" t="s">
        <v>32</v>
      </c>
      <c r="E16" s="9" t="s">
        <v>7</v>
      </c>
      <c r="F16" s="9" t="s">
        <v>7</v>
      </c>
    </row>
    <row r="17" spans="1:6" s="2" customFormat="1" ht="18.600000000000001" customHeight="1" x14ac:dyDescent="0.25">
      <c r="A17" s="8" t="s">
        <v>33</v>
      </c>
      <c r="B17" s="9"/>
      <c r="C17" s="9"/>
      <c r="D17" s="8" t="s">
        <v>34</v>
      </c>
      <c r="E17" s="9"/>
      <c r="F17" s="9"/>
    </row>
    <row r="18" spans="1:6" s="2" customFormat="1" ht="18.600000000000001" customHeight="1" x14ac:dyDescent="0.25">
      <c r="A18" s="8" t="s">
        <v>35</v>
      </c>
      <c r="B18" s="9"/>
      <c r="C18" s="9"/>
      <c r="D18" s="8" t="s">
        <v>36</v>
      </c>
      <c r="E18" s="9"/>
      <c r="F18" s="9"/>
    </row>
    <row r="19" spans="1:6" s="2" customFormat="1" ht="18.600000000000001" customHeight="1" x14ac:dyDescent="0.25">
      <c r="A19" s="10" t="s">
        <v>37</v>
      </c>
      <c r="B19" s="11">
        <f>B5+B6+B7+B8+B9+B10+B11+B12+B13+B18</f>
        <v>15988432.119999995</v>
      </c>
      <c r="C19" s="11">
        <f>C5+C6+C7+C8+C9+C10+C11+C12+C13+C18</f>
        <v>14560294.799999999</v>
      </c>
      <c r="D19" s="8" t="s">
        <v>38</v>
      </c>
      <c r="E19" s="9"/>
      <c r="F19" s="9"/>
    </row>
    <row r="20" spans="1:6" s="2" customFormat="1" ht="18.600000000000001" customHeight="1" x14ac:dyDescent="0.25">
      <c r="A20" s="8" t="s">
        <v>39</v>
      </c>
      <c r="B20" s="9" t="s">
        <v>7</v>
      </c>
      <c r="C20" s="9" t="s">
        <v>7</v>
      </c>
      <c r="D20" s="8" t="s">
        <v>40</v>
      </c>
      <c r="E20" s="9"/>
      <c r="F20" s="9"/>
    </row>
    <row r="21" spans="1:6" s="2" customFormat="1" ht="18.600000000000001" customHeight="1" x14ac:dyDescent="0.25">
      <c r="A21" s="8" t="s">
        <v>41</v>
      </c>
      <c r="B21" s="9"/>
      <c r="C21" s="9"/>
      <c r="D21" s="8" t="s">
        <v>42</v>
      </c>
      <c r="E21" s="9"/>
      <c r="F21" s="9"/>
    </row>
    <row r="22" spans="1:6" s="2" customFormat="1" ht="18.600000000000001" customHeight="1" x14ac:dyDescent="0.25">
      <c r="A22" s="8" t="s">
        <v>43</v>
      </c>
      <c r="B22" s="9">
        <v>250000</v>
      </c>
      <c r="C22" s="9"/>
      <c r="D22" s="10" t="s">
        <v>44</v>
      </c>
      <c r="E22" s="11">
        <f>E15+E21</f>
        <v>11805987.360000001</v>
      </c>
      <c r="F22" s="11">
        <f>F15+F21</f>
        <v>12091018.889999993</v>
      </c>
    </row>
    <row r="23" spans="1:6" s="2" customFormat="1" ht="18.600000000000001" customHeight="1" x14ac:dyDescent="0.25">
      <c r="A23" s="8" t="s">
        <v>45</v>
      </c>
      <c r="B23" s="9">
        <v>2695754.21</v>
      </c>
      <c r="C23" s="9">
        <v>200261.07</v>
      </c>
      <c r="D23" s="8" t="s">
        <v>7</v>
      </c>
      <c r="E23" s="9" t="s">
        <v>7</v>
      </c>
      <c r="F23" s="9" t="s">
        <v>7</v>
      </c>
    </row>
    <row r="24" spans="1:6" s="2" customFormat="1" ht="18.600000000000001" customHeight="1" x14ac:dyDescent="0.25">
      <c r="A24" s="8" t="s">
        <v>46</v>
      </c>
      <c r="B24" s="9">
        <v>136694.24</v>
      </c>
      <c r="C24" s="9">
        <v>30104.04</v>
      </c>
      <c r="D24" s="8" t="s">
        <v>7</v>
      </c>
      <c r="E24" s="9" t="s">
        <v>7</v>
      </c>
      <c r="F24" s="9" t="s">
        <v>7</v>
      </c>
    </row>
    <row r="25" spans="1:6" s="2" customFormat="1" ht="18.600000000000001" customHeight="1" x14ac:dyDescent="0.25">
      <c r="A25" s="8" t="s">
        <v>47</v>
      </c>
      <c r="B25" s="9">
        <f>B23-B24</f>
        <v>2559059.9699999997</v>
      </c>
      <c r="C25" s="9">
        <v>170157.03</v>
      </c>
      <c r="D25" s="8" t="s">
        <v>7</v>
      </c>
      <c r="E25" s="9" t="s">
        <v>7</v>
      </c>
      <c r="F25" s="9" t="s">
        <v>7</v>
      </c>
    </row>
    <row r="26" spans="1:6" s="2" customFormat="1" ht="18.600000000000001" customHeight="1" x14ac:dyDescent="0.25">
      <c r="A26" s="8" t="s">
        <v>48</v>
      </c>
      <c r="B26" s="9">
        <v>0</v>
      </c>
      <c r="C26" s="9"/>
      <c r="D26" s="8" t="s">
        <v>7</v>
      </c>
      <c r="E26" s="9" t="s">
        <v>7</v>
      </c>
      <c r="F26" s="9" t="s">
        <v>7</v>
      </c>
    </row>
    <row r="27" spans="1:6" s="2" customFormat="1" ht="18.600000000000001" customHeight="1" x14ac:dyDescent="0.25">
      <c r="A27" s="8" t="s">
        <v>49</v>
      </c>
      <c r="B27" s="9">
        <v>0</v>
      </c>
      <c r="C27" s="9"/>
      <c r="D27" s="8" t="s">
        <v>7</v>
      </c>
      <c r="E27" s="9" t="s">
        <v>7</v>
      </c>
      <c r="F27" s="9" t="s">
        <v>7</v>
      </c>
    </row>
    <row r="28" spans="1:6" s="2" customFormat="1" ht="18.600000000000001" customHeight="1" x14ac:dyDescent="0.25">
      <c r="A28" s="8" t="s">
        <v>50</v>
      </c>
      <c r="B28" s="9">
        <v>0</v>
      </c>
      <c r="C28" s="9"/>
      <c r="D28" s="8" t="s">
        <v>7</v>
      </c>
      <c r="E28" s="9" t="s">
        <v>7</v>
      </c>
      <c r="F28" s="9" t="s">
        <v>7</v>
      </c>
    </row>
    <row r="29" spans="1:6" s="2" customFormat="1" ht="18.600000000000001" customHeight="1" x14ac:dyDescent="0.25">
      <c r="A29" s="8" t="s">
        <v>51</v>
      </c>
      <c r="B29" s="9">
        <v>0</v>
      </c>
      <c r="C29" s="9"/>
      <c r="D29" s="8" t="s">
        <v>52</v>
      </c>
      <c r="E29" s="9" t="s">
        <v>7</v>
      </c>
      <c r="F29" s="9" t="s">
        <v>7</v>
      </c>
    </row>
    <row r="30" spans="1:6" s="2" customFormat="1" ht="18.600000000000001" customHeight="1" x14ac:dyDescent="0.25">
      <c r="A30" s="8" t="s">
        <v>53</v>
      </c>
      <c r="B30" s="9">
        <v>4296.07</v>
      </c>
      <c r="C30" s="9"/>
      <c r="D30" s="8" t="s">
        <v>54</v>
      </c>
      <c r="E30" s="9">
        <v>8000000</v>
      </c>
      <c r="F30" s="9">
        <v>1985000</v>
      </c>
    </row>
    <row r="31" spans="1:6" s="2" customFormat="1" ht="18.600000000000001" customHeight="1" x14ac:dyDescent="0.25">
      <c r="A31" s="8" t="s">
        <v>55</v>
      </c>
      <c r="B31" s="9">
        <v>0</v>
      </c>
      <c r="C31" s="9"/>
      <c r="D31" s="8" t="s">
        <v>56</v>
      </c>
      <c r="E31" s="9">
        <v>0</v>
      </c>
      <c r="F31" s="9">
        <v>0</v>
      </c>
    </row>
    <row r="32" spans="1:6" s="2" customFormat="1" ht="18.600000000000001" customHeight="1" x14ac:dyDescent="0.25">
      <c r="A32" s="8" t="s">
        <v>57</v>
      </c>
      <c r="B32" s="9">
        <v>3246092.82</v>
      </c>
      <c r="C32" s="9"/>
      <c r="D32" s="8" t="s">
        <v>58</v>
      </c>
      <c r="E32" s="9">
        <v>0</v>
      </c>
      <c r="F32" s="9">
        <v>0</v>
      </c>
    </row>
    <row r="33" spans="1:6" s="2" customFormat="1" ht="18.600000000000001" customHeight="1" x14ac:dyDescent="0.25">
      <c r="A33" s="8" t="s">
        <v>59</v>
      </c>
      <c r="B33" s="9"/>
      <c r="C33" s="9"/>
      <c r="D33" s="8" t="s">
        <v>60</v>
      </c>
      <c r="E33" s="9">
        <v>2241893.6200000015</v>
      </c>
      <c r="F33" s="9">
        <v>654432.93999999994</v>
      </c>
    </row>
    <row r="34" spans="1:6" s="2" customFormat="1" ht="18.600000000000001" customHeight="1" x14ac:dyDescent="0.25">
      <c r="A34" s="10" t="s">
        <v>61</v>
      </c>
      <c r="B34" s="11">
        <f>B22+B25+B30+B32</f>
        <v>6059448.8599999994</v>
      </c>
      <c r="C34" s="11">
        <f>C22+C25+C30+C32</f>
        <v>170157.03</v>
      </c>
      <c r="D34" s="10" t="s">
        <v>62</v>
      </c>
      <c r="E34" s="11">
        <f>SUM(E30:E33)</f>
        <v>10241893.620000001</v>
      </c>
      <c r="F34" s="11">
        <f>SUM(F30:F33)</f>
        <v>2639432.94</v>
      </c>
    </row>
    <row r="35" spans="1:6" s="2" customFormat="1" ht="18.600000000000001" customHeight="1" x14ac:dyDescent="0.25">
      <c r="A35" s="10" t="s">
        <v>63</v>
      </c>
      <c r="B35" s="11">
        <f>B19+B34</f>
        <v>22047880.979999997</v>
      </c>
      <c r="C35" s="11">
        <f>C19+C34</f>
        <v>14730451.829999998</v>
      </c>
      <c r="D35" s="10" t="s">
        <v>64</v>
      </c>
      <c r="E35" s="11">
        <f>E22+E34</f>
        <v>22047880.980000004</v>
      </c>
      <c r="F35" s="11">
        <f>F22+F34</f>
        <v>14730451.829999993</v>
      </c>
    </row>
    <row r="36" spans="1:6" ht="14.1" customHeight="1" x14ac:dyDescent="0.25"/>
  </sheetData>
  <mergeCells count="3">
    <mergeCell ref="A1:F1"/>
    <mergeCell ref="A2:C2"/>
    <mergeCell ref="E2:F2"/>
  </mergeCells>
  <phoneticPr fontId="2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34"/>
  <sheetViews>
    <sheetView workbookViewId="0">
      <selection sqref="A1:C34"/>
    </sheetView>
  </sheetViews>
  <sheetFormatPr defaultColWidth="9" defaultRowHeight="14.4" x14ac:dyDescent="0.25"/>
  <cols>
    <col min="1" max="1" width="58.5546875" style="15" customWidth="1"/>
    <col min="2" max="2" width="17.21875" style="15" customWidth="1"/>
    <col min="3" max="3" width="20.6640625" style="15" customWidth="1"/>
    <col min="4" max="4" width="16.6640625" style="15" customWidth="1"/>
    <col min="5" max="6" width="12.6640625" style="15"/>
    <col min="7" max="16384" width="9" style="15"/>
  </cols>
  <sheetData>
    <row r="1" spans="1:3" ht="27.75" customHeight="1" x14ac:dyDescent="0.25">
      <c r="A1" s="20" t="s">
        <v>65</v>
      </c>
      <c r="B1" s="20"/>
      <c r="C1" s="20"/>
    </row>
    <row r="2" spans="1:3" ht="19.2" customHeight="1" x14ac:dyDescent="0.25">
      <c r="A2" s="18" t="s">
        <v>66</v>
      </c>
      <c r="B2" s="15" t="s">
        <v>150</v>
      </c>
      <c r="C2" s="19" t="s">
        <v>67</v>
      </c>
    </row>
    <row r="3" spans="1:3" ht="19.2" customHeight="1" x14ac:dyDescent="0.25">
      <c r="A3" s="6" t="s">
        <v>68</v>
      </c>
      <c r="B3" s="6" t="s">
        <v>69</v>
      </c>
      <c r="C3" s="6" t="s">
        <v>70</v>
      </c>
    </row>
    <row r="4" spans="1:3" ht="19.2" customHeight="1" x14ac:dyDescent="0.25">
      <c r="A4" s="16" t="s">
        <v>71</v>
      </c>
      <c r="B4" s="14" t="s">
        <v>72</v>
      </c>
      <c r="C4" s="9">
        <v>52135401.700000003</v>
      </c>
    </row>
    <row r="5" spans="1:3" ht="19.2" customHeight="1" x14ac:dyDescent="0.25">
      <c r="A5" s="16" t="s">
        <v>73</v>
      </c>
      <c r="B5" s="14" t="s">
        <v>74</v>
      </c>
      <c r="C5" s="9">
        <v>45918800.600000001</v>
      </c>
    </row>
    <row r="6" spans="1:3" ht="19.2" customHeight="1" x14ac:dyDescent="0.25">
      <c r="A6" s="16" t="s">
        <v>75</v>
      </c>
      <c r="B6" s="14" t="s">
        <v>76</v>
      </c>
      <c r="C6" s="9">
        <v>49323.08</v>
      </c>
    </row>
    <row r="7" spans="1:3" ht="19.2" customHeight="1" x14ac:dyDescent="0.25">
      <c r="A7" s="16" t="s">
        <v>77</v>
      </c>
      <c r="B7" s="14" t="s">
        <v>78</v>
      </c>
      <c r="C7" s="9">
        <v>0</v>
      </c>
    </row>
    <row r="8" spans="1:3" ht="19.2" customHeight="1" x14ac:dyDescent="0.25">
      <c r="A8" s="16" t="s">
        <v>153</v>
      </c>
      <c r="B8" s="14" t="s">
        <v>79</v>
      </c>
      <c r="C8" s="9">
        <v>11038.01</v>
      </c>
    </row>
    <row r="9" spans="1:3" ht="19.2" customHeight="1" x14ac:dyDescent="0.25">
      <c r="A9" s="16" t="s">
        <v>154</v>
      </c>
      <c r="B9" s="14" t="s">
        <v>80</v>
      </c>
      <c r="C9" s="9">
        <v>0</v>
      </c>
    </row>
    <row r="10" spans="1:3" ht="19.2" customHeight="1" x14ac:dyDescent="0.25">
      <c r="A10" s="16" t="s">
        <v>155</v>
      </c>
      <c r="B10" s="14" t="s">
        <v>81</v>
      </c>
      <c r="C10" s="9">
        <v>0</v>
      </c>
    </row>
    <row r="11" spans="1:3" ht="19.2" customHeight="1" x14ac:dyDescent="0.25">
      <c r="A11" s="16" t="s">
        <v>156</v>
      </c>
      <c r="B11" s="14" t="s">
        <v>82</v>
      </c>
      <c r="C11" s="9">
        <v>30838.17</v>
      </c>
    </row>
    <row r="12" spans="1:3" ht="19.2" customHeight="1" x14ac:dyDescent="0.25">
      <c r="A12" s="16" t="s">
        <v>157</v>
      </c>
      <c r="B12" s="14" t="s">
        <v>83</v>
      </c>
      <c r="C12" s="9">
        <v>4257.2</v>
      </c>
    </row>
    <row r="13" spans="1:3" ht="19.2" customHeight="1" x14ac:dyDescent="0.25">
      <c r="A13" s="16" t="s">
        <v>84</v>
      </c>
      <c r="B13" s="14" t="s">
        <v>85</v>
      </c>
      <c r="C13" s="9">
        <v>2060000.3</v>
      </c>
    </row>
    <row r="14" spans="1:3" ht="19.2" customHeight="1" x14ac:dyDescent="0.25">
      <c r="A14" s="16" t="s">
        <v>86</v>
      </c>
      <c r="B14" s="14" t="s">
        <v>87</v>
      </c>
      <c r="C14" s="9">
        <v>13229</v>
      </c>
    </row>
    <row r="15" spans="1:3" ht="19.2" customHeight="1" x14ac:dyDescent="0.25">
      <c r="A15" s="16" t="s">
        <v>88</v>
      </c>
      <c r="B15" s="14" t="s">
        <v>89</v>
      </c>
      <c r="C15" s="9">
        <v>225881.14</v>
      </c>
    </row>
    <row r="16" spans="1:3" ht="19.2" customHeight="1" x14ac:dyDescent="0.25">
      <c r="A16" s="16" t="s">
        <v>90</v>
      </c>
      <c r="B16" s="14" t="s">
        <v>91</v>
      </c>
      <c r="C16" s="9">
        <v>2552652.98</v>
      </c>
    </row>
    <row r="17" spans="1:4" ht="19.2" customHeight="1" x14ac:dyDescent="0.25">
      <c r="A17" s="16" t="s">
        <v>92</v>
      </c>
      <c r="B17" s="14" t="s">
        <v>93</v>
      </c>
      <c r="C17" s="9">
        <v>221721.03</v>
      </c>
    </row>
    <row r="18" spans="1:4" ht="19.2" customHeight="1" x14ac:dyDescent="0.25">
      <c r="A18" s="16" t="s">
        <v>94</v>
      </c>
      <c r="B18" s="14" t="s">
        <v>95</v>
      </c>
      <c r="C18" s="9">
        <v>453985.95</v>
      </c>
    </row>
    <row r="19" spans="1:4" ht="19.2" customHeight="1" x14ac:dyDescent="0.25">
      <c r="A19" s="16" t="s">
        <v>96</v>
      </c>
      <c r="B19" s="14" t="s">
        <v>97</v>
      </c>
      <c r="C19" s="9">
        <v>0</v>
      </c>
    </row>
    <row r="20" spans="1:4" ht="19.2" customHeight="1" x14ac:dyDescent="0.25">
      <c r="A20" s="16" t="s">
        <v>98</v>
      </c>
      <c r="B20" s="14" t="s">
        <v>99</v>
      </c>
      <c r="C20" s="9">
        <v>82708.3</v>
      </c>
    </row>
    <row r="21" spans="1:4" ht="19.2" customHeight="1" x14ac:dyDescent="0.25">
      <c r="A21" s="16" t="s">
        <v>100</v>
      </c>
      <c r="B21" s="14" t="s">
        <v>101</v>
      </c>
      <c r="C21" s="9">
        <v>72599.710000000006</v>
      </c>
    </row>
    <row r="22" spans="1:4" ht="19.2" customHeight="1" x14ac:dyDescent="0.25">
      <c r="A22" s="16" t="s">
        <v>102</v>
      </c>
      <c r="B22" s="14" t="s">
        <v>103</v>
      </c>
      <c r="C22" s="9">
        <v>126497.5</v>
      </c>
    </row>
    <row r="23" spans="1:4" ht="19.2" customHeight="1" x14ac:dyDescent="0.25">
      <c r="A23" s="16" t="s">
        <v>104</v>
      </c>
      <c r="B23" s="14" t="s">
        <v>105</v>
      </c>
      <c r="C23" s="9">
        <f>C4-C5-C6-C13-C16-C20+C22</f>
        <v>1598413.9400000016</v>
      </c>
      <c r="D23" s="17"/>
    </row>
    <row r="24" spans="1:4" ht="19.2" customHeight="1" x14ac:dyDescent="0.25">
      <c r="A24" s="16" t="s">
        <v>106</v>
      </c>
      <c r="B24" s="14" t="s">
        <v>107</v>
      </c>
      <c r="C24" s="9">
        <v>0</v>
      </c>
    </row>
    <row r="25" spans="1:4" ht="19.2" customHeight="1" x14ac:dyDescent="0.25">
      <c r="A25" s="16" t="s">
        <v>108</v>
      </c>
      <c r="B25" s="14" t="s">
        <v>109</v>
      </c>
      <c r="C25" s="9">
        <v>0</v>
      </c>
    </row>
    <row r="26" spans="1:4" ht="19.2" customHeight="1" x14ac:dyDescent="0.25">
      <c r="A26" s="16" t="s">
        <v>110</v>
      </c>
      <c r="B26" s="14" t="s">
        <v>111</v>
      </c>
      <c r="C26" s="9">
        <v>0</v>
      </c>
    </row>
    <row r="27" spans="1:4" ht="19.2" customHeight="1" x14ac:dyDescent="0.25">
      <c r="A27" s="16" t="s">
        <v>112</v>
      </c>
      <c r="B27" s="14" t="s">
        <v>113</v>
      </c>
      <c r="C27" s="9">
        <v>0</v>
      </c>
    </row>
    <row r="28" spans="1:4" ht="19.2" customHeight="1" x14ac:dyDescent="0.25">
      <c r="A28" s="16" t="s">
        <v>158</v>
      </c>
      <c r="B28" s="14" t="s">
        <v>114</v>
      </c>
      <c r="C28" s="9">
        <v>0</v>
      </c>
    </row>
    <row r="29" spans="1:4" ht="19.2" customHeight="1" x14ac:dyDescent="0.25">
      <c r="A29" s="16" t="s">
        <v>159</v>
      </c>
      <c r="B29" s="14" t="s">
        <v>115</v>
      </c>
      <c r="C29" s="9">
        <v>0</v>
      </c>
    </row>
    <row r="30" spans="1:4" ht="19.2" customHeight="1" x14ac:dyDescent="0.25">
      <c r="A30" s="16" t="s">
        <v>160</v>
      </c>
      <c r="B30" s="14" t="s">
        <v>116</v>
      </c>
      <c r="C30" s="9">
        <v>0</v>
      </c>
    </row>
    <row r="31" spans="1:4" ht="19.2" customHeight="1" x14ac:dyDescent="0.25">
      <c r="A31" s="16" t="s">
        <v>161</v>
      </c>
      <c r="B31" s="14" t="s">
        <v>117</v>
      </c>
      <c r="C31" s="9">
        <v>0</v>
      </c>
    </row>
    <row r="32" spans="1:4" ht="19.2" customHeight="1" x14ac:dyDescent="0.25">
      <c r="A32" s="16" t="s">
        <v>118</v>
      </c>
      <c r="B32" s="14" t="s">
        <v>119</v>
      </c>
      <c r="C32" s="9">
        <f>C23+C24-C26</f>
        <v>1598413.9400000016</v>
      </c>
      <c r="D32" s="17"/>
    </row>
    <row r="33" spans="1:4" ht="19.2" customHeight="1" x14ac:dyDescent="0.25">
      <c r="A33" s="16" t="s">
        <v>120</v>
      </c>
      <c r="B33" s="14" t="s">
        <v>121</v>
      </c>
      <c r="C33" s="9">
        <v>10953.26</v>
      </c>
    </row>
    <row r="34" spans="1:4" ht="19.2" customHeight="1" x14ac:dyDescent="0.25">
      <c r="A34" s="16" t="s">
        <v>122</v>
      </c>
      <c r="B34" s="14" t="s">
        <v>123</v>
      </c>
      <c r="C34" s="9">
        <f>C32-C33</f>
        <v>1587460.6800000016</v>
      </c>
      <c r="D34" s="17"/>
    </row>
  </sheetData>
  <mergeCells count="1">
    <mergeCell ref="A1:C1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2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28"/>
  <sheetViews>
    <sheetView tabSelected="1" workbookViewId="0">
      <selection activeCell="B9" sqref="B9"/>
    </sheetView>
  </sheetViews>
  <sheetFormatPr defaultColWidth="9" defaultRowHeight="14.4" x14ac:dyDescent="0.25"/>
  <cols>
    <col min="1" max="1" width="78.109375" style="15" customWidth="1"/>
    <col min="2" max="2" width="27.88671875" style="15" customWidth="1"/>
    <col min="3" max="3" width="35.33203125" style="15" customWidth="1"/>
    <col min="4" max="5" width="17.109375" style="15"/>
    <col min="6" max="6" width="15.6640625" style="15" customWidth="1"/>
    <col min="7" max="16384" width="9" style="15"/>
  </cols>
  <sheetData>
    <row r="1" spans="1:3" ht="23.4" customHeight="1" x14ac:dyDescent="0.25">
      <c r="A1" s="20" t="s">
        <v>124</v>
      </c>
      <c r="B1" s="20"/>
      <c r="C1" s="20"/>
    </row>
    <row r="2" spans="1:3" ht="21.6" customHeight="1" x14ac:dyDescent="0.25">
      <c r="A2" s="18" t="s">
        <v>66</v>
      </c>
      <c r="B2" s="18" t="s">
        <v>150</v>
      </c>
      <c r="C2" s="21" t="s">
        <v>67</v>
      </c>
    </row>
    <row r="3" spans="1:3" ht="21.6" customHeight="1" x14ac:dyDescent="0.25">
      <c r="A3" s="6" t="s">
        <v>68</v>
      </c>
      <c r="B3" s="6" t="s">
        <v>69</v>
      </c>
      <c r="C3" s="6" t="s">
        <v>70</v>
      </c>
    </row>
    <row r="4" spans="1:3" ht="21.6" customHeight="1" x14ac:dyDescent="0.25">
      <c r="A4" s="16" t="s">
        <v>125</v>
      </c>
      <c r="B4" s="14" t="s">
        <v>72</v>
      </c>
      <c r="C4" s="9" t="s">
        <v>7</v>
      </c>
    </row>
    <row r="5" spans="1:3" ht="21.6" customHeight="1" x14ac:dyDescent="0.25">
      <c r="A5" s="16" t="s">
        <v>126</v>
      </c>
      <c r="B5" s="14" t="s">
        <v>74</v>
      </c>
      <c r="C5" s="9">
        <v>52138026.780000001</v>
      </c>
    </row>
    <row r="6" spans="1:3" ht="21.6" customHeight="1" x14ac:dyDescent="0.25">
      <c r="A6" s="16" t="s">
        <v>127</v>
      </c>
      <c r="B6" s="14" t="s">
        <v>76</v>
      </c>
      <c r="C6" s="9">
        <v>18200497.91</v>
      </c>
    </row>
    <row r="7" spans="1:3" ht="21.6" customHeight="1" x14ac:dyDescent="0.25">
      <c r="A7" s="16" t="s">
        <v>128</v>
      </c>
      <c r="B7" s="14" t="s">
        <v>78</v>
      </c>
      <c r="C7" s="9">
        <v>45603578.229999997</v>
      </c>
    </row>
    <row r="8" spans="1:3" ht="21.6" customHeight="1" x14ac:dyDescent="0.25">
      <c r="A8" s="16" t="s">
        <v>129</v>
      </c>
      <c r="B8" s="14" t="s">
        <v>79</v>
      </c>
      <c r="C8" s="9">
        <v>6965913.9100000001</v>
      </c>
    </row>
    <row r="9" spans="1:3" ht="21.6" customHeight="1" x14ac:dyDescent="0.25">
      <c r="A9" s="16" t="s">
        <v>130</v>
      </c>
      <c r="B9" s="14" t="s">
        <v>80</v>
      </c>
      <c r="C9" s="9">
        <v>1165704.81</v>
      </c>
    </row>
    <row r="10" spans="1:3" ht="21.6" customHeight="1" x14ac:dyDescent="0.25">
      <c r="A10" s="16" t="s">
        <v>131</v>
      </c>
      <c r="B10" s="14" t="s">
        <v>81</v>
      </c>
      <c r="C10" s="9">
        <v>19895511.190000001</v>
      </c>
    </row>
    <row r="11" spans="1:3" ht="21.6" customHeight="1" x14ac:dyDescent="0.25">
      <c r="A11" s="16" t="s">
        <v>132</v>
      </c>
      <c r="B11" s="14" t="s">
        <v>82</v>
      </c>
      <c r="C11" s="9">
        <f>C5+C6-C7-C8-C9-C10</f>
        <v>-3292183.4500000011</v>
      </c>
    </row>
    <row r="12" spans="1:3" ht="21.6" customHeight="1" x14ac:dyDescent="0.25">
      <c r="A12" s="16" t="s">
        <v>133</v>
      </c>
      <c r="B12" s="14" t="s">
        <v>83</v>
      </c>
      <c r="C12" s="9" t="s">
        <v>7</v>
      </c>
    </row>
    <row r="13" spans="1:3" ht="21.6" customHeight="1" x14ac:dyDescent="0.25">
      <c r="A13" s="16" t="s">
        <v>134</v>
      </c>
      <c r="B13" s="14" t="s">
        <v>85</v>
      </c>
      <c r="C13" s="9"/>
    </row>
    <row r="14" spans="1:3" ht="21.6" customHeight="1" x14ac:dyDescent="0.25">
      <c r="A14" s="16" t="s">
        <v>135</v>
      </c>
      <c r="B14" s="14" t="s">
        <v>87</v>
      </c>
      <c r="C14" s="9"/>
    </row>
    <row r="15" spans="1:3" ht="21.6" customHeight="1" x14ac:dyDescent="0.25">
      <c r="A15" s="16" t="s">
        <v>136</v>
      </c>
      <c r="B15" s="14" t="s">
        <v>89</v>
      </c>
      <c r="C15" s="9"/>
    </row>
    <row r="16" spans="1:3" ht="21.6" customHeight="1" x14ac:dyDescent="0.25">
      <c r="A16" s="16" t="s">
        <v>137</v>
      </c>
      <c r="B16" s="14" t="s">
        <v>91</v>
      </c>
      <c r="C16" s="9"/>
    </row>
    <row r="17" spans="1:5" ht="21.6" customHeight="1" x14ac:dyDescent="0.25">
      <c r="A17" s="16" t="s">
        <v>138</v>
      </c>
      <c r="B17" s="14" t="s">
        <v>93</v>
      </c>
      <c r="C17" s="9">
        <v>5735991.4699999997</v>
      </c>
    </row>
    <row r="18" spans="1:5" ht="21.6" customHeight="1" x14ac:dyDescent="0.25">
      <c r="A18" s="16" t="s">
        <v>139</v>
      </c>
      <c r="B18" s="14" t="s">
        <v>95</v>
      </c>
      <c r="C18" s="9">
        <f>C13+C14+C15-C16-C17</f>
        <v>-5735991.4699999997</v>
      </c>
    </row>
    <row r="19" spans="1:5" ht="21.6" customHeight="1" x14ac:dyDescent="0.25">
      <c r="A19" s="16" t="s">
        <v>140</v>
      </c>
      <c r="B19" s="14" t="s">
        <v>97</v>
      </c>
      <c r="C19" s="9" t="s">
        <v>7</v>
      </c>
    </row>
    <row r="20" spans="1:5" ht="21.6" customHeight="1" x14ac:dyDescent="0.25">
      <c r="A20" s="16" t="s">
        <v>141</v>
      </c>
      <c r="B20" s="14" t="s">
        <v>99</v>
      </c>
      <c r="C20" s="9">
        <v>8000000</v>
      </c>
    </row>
    <row r="21" spans="1:5" ht="21.6" customHeight="1" x14ac:dyDescent="0.25">
      <c r="A21" s="16" t="s">
        <v>142</v>
      </c>
      <c r="B21" s="14" t="s">
        <v>101</v>
      </c>
      <c r="C21" s="9"/>
    </row>
    <row r="22" spans="1:5" ht="21.6" customHeight="1" x14ac:dyDescent="0.25">
      <c r="A22" s="16" t="s">
        <v>143</v>
      </c>
      <c r="B22" s="14" t="s">
        <v>103</v>
      </c>
      <c r="C22" s="9"/>
    </row>
    <row r="23" spans="1:5" ht="21.6" customHeight="1" x14ac:dyDescent="0.25">
      <c r="A23" s="16" t="s">
        <v>144</v>
      </c>
      <c r="B23" s="14" t="s">
        <v>105</v>
      </c>
      <c r="C23" s="9">
        <f>4287.5+39166.68+29145.53</f>
        <v>72599.709999999992</v>
      </c>
    </row>
    <row r="24" spans="1:5" ht="21.6" customHeight="1" x14ac:dyDescent="0.25">
      <c r="A24" s="16" t="s">
        <v>145</v>
      </c>
      <c r="B24" s="14" t="s">
        <v>107</v>
      </c>
      <c r="C24" s="9"/>
    </row>
    <row r="25" spans="1:5" ht="21.6" customHeight="1" x14ac:dyDescent="0.25">
      <c r="A25" s="16" t="s">
        <v>146</v>
      </c>
      <c r="B25" s="14" t="s">
        <v>109</v>
      </c>
      <c r="C25" s="9">
        <f>C20+C21-C22-C23-C24</f>
        <v>7927400.29</v>
      </c>
    </row>
    <row r="26" spans="1:5" ht="21.6" customHeight="1" x14ac:dyDescent="0.25">
      <c r="A26" s="16" t="s">
        <v>147</v>
      </c>
      <c r="B26" s="14" t="s">
        <v>111</v>
      </c>
      <c r="C26" s="9">
        <f>C11+C18+C25</f>
        <v>-1100774.6300000018</v>
      </c>
      <c r="E26" s="17"/>
    </row>
    <row r="27" spans="1:5" ht="21.6" customHeight="1" x14ac:dyDescent="0.25">
      <c r="A27" s="16" t="s">
        <v>148</v>
      </c>
      <c r="B27" s="14" t="s">
        <v>113</v>
      </c>
      <c r="C27" s="9">
        <v>9372504.8499999996</v>
      </c>
    </row>
    <row r="28" spans="1:5" ht="21.6" customHeight="1" x14ac:dyDescent="0.25">
      <c r="A28" s="16" t="s">
        <v>149</v>
      </c>
      <c r="B28" s="14" t="s">
        <v>114</v>
      </c>
      <c r="C28" s="9">
        <f>C27+C26</f>
        <v>8271730.2199999979</v>
      </c>
    </row>
  </sheetData>
  <mergeCells count="1">
    <mergeCell ref="A1:C1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资产负债表</vt:lpstr>
      <vt:lpstr>利润表</vt:lpstr>
      <vt:lpstr>现金流量表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吴瑞雪</dc:creator>
  <cp:lastModifiedBy>国国 陈</cp:lastModifiedBy>
  <cp:lastPrinted>2026-04-29T06:00:20Z</cp:lastPrinted>
  <dcterms:created xsi:type="dcterms:W3CDTF">2023-05-12T11:15:00Z</dcterms:created>
  <dcterms:modified xsi:type="dcterms:W3CDTF">2026-04-29T06:01:02Z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75976016750F4D85946E1A39E96B1EA9_12</vt:lpwstr>
  </property>
  <property fmtid="{D5CDD505-2E9C-101B-9397-08002B2CF9AE}" pid="4" name="CalculationRule">
    <vt:i4>0</vt:i4>
  </property>
</Properties>
</file>