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仓库1\Desktop\发票\"/>
    </mc:Choice>
  </mc:AlternateContent>
  <bookViews>
    <workbookView windowWidth="27945" windowHeight="12255"/>
  </bookViews>
  <sheets>
    <sheet name="申请明细" sheetId="1" r:id="rId1"/>
    <sheet name="Sheet2" sheetId="2" r:id="rId2"/>
    <sheet name="Sheet3" sheetId="3" r:id="rId3"/>
  </sheets>
  <definedNames>
    <definedName name="_xlnm._FilterDatabase" localSheetId="0" hidden="1">申请明细!$A$5:$G$191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<sst xmlns="http://schemas.openxmlformats.org/spreadsheetml/2006/main" count="1527" uniqueCount="364">
  <si>
    <t>订单采购（CTP）</t>
  </si>
  <si>
    <t>服务商全称：宁家(北京)汽车服务有限公司</t>
  </si>
  <si>
    <t>供应商全称：宁德时代新能源科技有限公司</t>
  </si>
  <si>
    <t>采购人：乔童</t>
  </si>
  <si>
    <t>供方联系人：王元峰</t>
  </si>
  <si>
    <t>电话：15111946989</t>
  </si>
  <si>
    <t>电话：19959359271</t>
  </si>
  <si>
    <r>
      <rPr>
        <sz val="9"/>
        <color theme="1"/>
        <rFont val="宋体"/>
        <charset val="134"/>
      </rPr>
      <t>序号</t>
    </r>
  </si>
  <si>
    <t>工单号</t>
  </si>
  <si>
    <t>物料PN</t>
  </si>
  <si>
    <t>物料名称</t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</si>
  <si>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</si>
  <si>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单价</t>
    </r>
  </si>
  <si>
    <r>
      <rPr>
        <sz val="9"/>
        <color theme="1"/>
        <rFont val="宋体"/>
        <charset val="134"/>
      </rPr>
      <t>合计</t>
    </r>
  </si>
  <si>
    <t>RM02667370</t>
  </si>
  <si>
    <t>150200-00077</t>
  </si>
  <si>
    <t>结构胶_德邦_2020_A组分</t>
  </si>
  <si>
    <t>150200-00078</t>
  </si>
  <si>
    <t>结构胶_德邦_2020_B组分</t>
  </si>
  <si>
    <t>501605-00319</t>
  </si>
  <si>
    <t>下箱体底护板_冲压</t>
  </si>
  <si>
    <t>530101-01576</t>
  </si>
  <si>
    <t>发泡硅胶密封件</t>
  </si>
  <si>
    <t>210650-00071</t>
  </si>
  <si>
    <t>内六角花形盘头螺钉_M5×19_带导向凸缘15_涂螺纹胶</t>
  </si>
  <si>
    <t>581802-00245</t>
  </si>
  <si>
    <t>硬质发泡聚氨酯缓冲垫</t>
  </si>
  <si>
    <t>581802-00246</t>
  </si>
  <si>
    <t>581802-00247</t>
  </si>
  <si>
    <t>581802-00249</t>
  </si>
  <si>
    <t>581802-00250</t>
  </si>
  <si>
    <t>500109-00351</t>
  </si>
  <si>
    <t>下箱体_复合_FDS</t>
  </si>
  <si>
    <t>530101-00051</t>
  </si>
  <si>
    <t>550251-02945</t>
  </si>
  <si>
    <t>箱体内低压线束</t>
  </si>
  <si>
    <t>581801-00187</t>
  </si>
  <si>
    <t>泡棉缓冲垫</t>
  </si>
  <si>
    <t>581801-00214</t>
  </si>
  <si>
    <t>800222-00335</t>
  </si>
  <si>
    <t>Ecar-CSC-总成_TI1_5AFE_71S_C1_V1_AAA</t>
  </si>
  <si>
    <t>800224-00373</t>
  </si>
  <si>
    <t>Ecar-Other-总成_GAC_A20（62kWh）-BMU</t>
  </si>
  <si>
    <t>200400-00072</t>
  </si>
  <si>
    <t>非标螺栓_六角法兰面组合螺栓_M5×20_前端导向</t>
  </si>
  <si>
    <t>500403-00406</t>
  </si>
  <si>
    <t>箱盖_模压_电箱</t>
  </si>
  <si>
    <t>511601-00510</t>
  </si>
  <si>
    <t>MPP缓冲垫</t>
  </si>
  <si>
    <t>530101-00848</t>
  </si>
  <si>
    <t>530101-00901</t>
  </si>
  <si>
    <t>580900-00008</t>
  </si>
  <si>
    <t>吸湿片</t>
  </si>
  <si>
    <t>530100-00913</t>
  </si>
  <si>
    <t>密封圈条_箱体</t>
  </si>
  <si>
    <t>290500-00139</t>
  </si>
  <si>
    <t>中部挂载结构_底部套筒_M40×6</t>
  </si>
  <si>
    <t>500605-00540</t>
  </si>
  <si>
    <t>支架_冲压_固定板</t>
  </si>
  <si>
    <t>530101-00657</t>
  </si>
  <si>
    <t>530101-00813</t>
  </si>
  <si>
    <t>581801-00989</t>
  </si>
  <si>
    <t>500605-00178</t>
  </si>
  <si>
    <t>530101-00338</t>
  </si>
  <si>
    <t>发泡硅胶密封件_底护板</t>
  </si>
  <si>
    <t>581801-00555</t>
  </si>
  <si>
    <t>泡棉缓冲垫_1</t>
  </si>
  <si>
    <t>581801-00572</t>
  </si>
  <si>
    <t>泡棉缓冲垫_2</t>
  </si>
  <si>
    <t>581801-00573</t>
  </si>
  <si>
    <t>泡棉缓冲垫_3</t>
  </si>
  <si>
    <t>550551-00007</t>
  </si>
  <si>
    <t>扎带</t>
  </si>
  <si>
    <t>500110-00069</t>
  </si>
  <si>
    <t>下箱体_复合_FSW_H01</t>
  </si>
  <si>
    <t>290500-00612</t>
  </si>
  <si>
    <t>中部挂载_底部套筒</t>
  </si>
  <si>
    <t>581802-00248</t>
  </si>
  <si>
    <t>530100-00953</t>
  </si>
  <si>
    <t>密封圈</t>
  </si>
  <si>
    <t>581801-02047</t>
  </si>
  <si>
    <t>501605-00165</t>
  </si>
  <si>
    <t>RM02682887 RM02751403</t>
  </si>
  <si>
    <t>530102-00384</t>
  </si>
  <si>
    <t>橡胶密封件_双筋密封圈_底护板&amp;中部套筒01</t>
  </si>
  <si>
    <t>500109-00071</t>
  </si>
  <si>
    <t>下箱体_复合_FDS_N60-450下箱体</t>
  </si>
  <si>
    <t>RM02737285</t>
  </si>
  <si>
    <t>200400-00067</t>
  </si>
  <si>
    <t>非标螺栓_六角法兰面组合螺栓_M5×17_预涂胶</t>
  </si>
  <si>
    <t>500405-00227</t>
  </si>
  <si>
    <t>箱盖_冲压_电箱_160Ah</t>
  </si>
  <si>
    <t>530101-00498</t>
  </si>
  <si>
    <t>580900-00009</t>
  </si>
  <si>
    <t>580200-01238</t>
  </si>
  <si>
    <t>绝缘条_底部绝缘条_131Ah_26S</t>
  </si>
  <si>
    <t>581801-00203</t>
  </si>
  <si>
    <t>泡棉缓冲垫_12</t>
  </si>
  <si>
    <t>500105-00227</t>
  </si>
  <si>
    <t>下箱体_冲压_电箱</t>
  </si>
  <si>
    <t>RM02749513</t>
  </si>
  <si>
    <t>500604-00643</t>
  </si>
  <si>
    <t>支架_挤压_固定支架</t>
  </si>
  <si>
    <t>500604-00644</t>
  </si>
  <si>
    <t>500604-00645</t>
  </si>
  <si>
    <t>500604-00646</t>
  </si>
  <si>
    <t>500604-00647</t>
  </si>
  <si>
    <t>500604-00648</t>
  </si>
  <si>
    <t>RM02749521 RM02761579</t>
  </si>
  <si>
    <t>200200-00170</t>
  </si>
  <si>
    <t>六角法兰面螺栓_M6×20_预涂胶</t>
  </si>
  <si>
    <t>500109-00392</t>
  </si>
  <si>
    <t>550551-00031</t>
  </si>
  <si>
    <t>200400-00063</t>
  </si>
  <si>
    <t>非标螺栓_六角法兰面组合螺栓_M5×17</t>
  </si>
  <si>
    <t>500605-00361</t>
  </si>
  <si>
    <t>530101-00321</t>
  </si>
  <si>
    <t>发泡硅胶密封件_箱体底部密封泡棉</t>
  </si>
  <si>
    <t>581801-00592</t>
  </si>
  <si>
    <t>200200-00116</t>
  </si>
  <si>
    <t>六角法兰面螺栓_预涂螺纹胶_M6x14</t>
  </si>
  <si>
    <t>581801-00553</t>
  </si>
  <si>
    <t>550551-00012</t>
  </si>
  <si>
    <t>RM02779488</t>
  </si>
  <si>
    <t>230100-00003</t>
  </si>
  <si>
    <t>M5六角法兰面螺母（施必牢）</t>
  </si>
  <si>
    <t>550650-00665</t>
  </si>
  <si>
    <t>FPC组件_负极出线</t>
  </si>
  <si>
    <t>200200-00049</t>
  </si>
  <si>
    <t>M8x16六角法兰面螺栓</t>
  </si>
  <si>
    <t>RM02799144 RM02848195</t>
  </si>
  <si>
    <t>501605-00070</t>
  </si>
  <si>
    <t>500605-00196</t>
  </si>
  <si>
    <t>530101-00348</t>
  </si>
  <si>
    <t>发泡硅胶密封件01</t>
  </si>
  <si>
    <t>530101-00349</t>
  </si>
  <si>
    <t>发泡硅胶密封件02</t>
  </si>
  <si>
    <t>581801-01093</t>
  </si>
  <si>
    <t>530101-00893</t>
  </si>
  <si>
    <t>发泡硅胶密封件_底板&amp;水冷板</t>
  </si>
  <si>
    <t>RM02832671</t>
  </si>
  <si>
    <t>501605-00194</t>
  </si>
  <si>
    <t>500109-00079</t>
  </si>
  <si>
    <t>290500-00391</t>
  </si>
  <si>
    <t>中部挂载结构_底部套筒</t>
  </si>
  <si>
    <t>530101-01237</t>
  </si>
  <si>
    <t>581801-01338</t>
  </si>
  <si>
    <t>泡棉缓冲垫_1235mm*385mm</t>
  </si>
  <si>
    <t>500605-00280</t>
  </si>
  <si>
    <t>支架_冲压_支撑板_底护板</t>
  </si>
  <si>
    <t>530101-00308</t>
  </si>
  <si>
    <t>581801-00686</t>
  </si>
  <si>
    <t>200200-00143</t>
  </si>
  <si>
    <t>六角法兰面螺栓_M6×80</t>
  </si>
  <si>
    <t>500109-00159</t>
  </si>
  <si>
    <t>下箱体_复合_FDS_中部挂载结构_顶部套筒</t>
  </si>
  <si>
    <t>530101-00096</t>
  </si>
  <si>
    <t>530101-00110</t>
  </si>
  <si>
    <t>发泡硅胶密封件_01</t>
  </si>
  <si>
    <t>530101-00111</t>
  </si>
  <si>
    <t>发泡硅胶密封件_02</t>
  </si>
  <si>
    <t>530101-00126</t>
  </si>
  <si>
    <t>发泡硅胶密封件_03</t>
  </si>
  <si>
    <t>581801-00424</t>
  </si>
  <si>
    <t>581801-01337</t>
  </si>
  <si>
    <t>泡棉缓冲垫_1235mm*300mm</t>
  </si>
  <si>
    <t>200200-00005</t>
  </si>
  <si>
    <t>M5x16六角法兰面螺栓</t>
  </si>
  <si>
    <t>230100-00009</t>
  </si>
  <si>
    <t>M6六角法兰面螺母(施必牢）</t>
  </si>
  <si>
    <t>RM02971292</t>
  </si>
  <si>
    <t>500110-00093</t>
  </si>
  <si>
    <t>500109-00513</t>
  </si>
  <si>
    <t>下箱体_复合_FDS_H01</t>
  </si>
  <si>
    <t>530101-01249</t>
  </si>
  <si>
    <t>530101-00940</t>
  </si>
  <si>
    <t>581801-01182</t>
  </si>
  <si>
    <t>200200-00071</t>
  </si>
  <si>
    <t>M6x12六角法兰面螺栓_预涂螺纹胶</t>
  </si>
  <si>
    <t>530100-00959</t>
  </si>
  <si>
    <t>密封圈条_箱体上盖</t>
  </si>
  <si>
    <t>530201-00017</t>
  </si>
  <si>
    <t>平衡阀_M12_瓣膜</t>
  </si>
  <si>
    <t>530201-00027</t>
  </si>
  <si>
    <t>平衡阀_M12</t>
  </si>
  <si>
    <t>530100-00609</t>
  </si>
  <si>
    <t>密封圈条_箱体底面</t>
  </si>
  <si>
    <t>530101-00225</t>
  </si>
  <si>
    <t>580200-02770</t>
  </si>
  <si>
    <t>缓冲垫_支撑垫</t>
  </si>
  <si>
    <t>500109-00042</t>
  </si>
  <si>
    <t>下箱体_复合 FDS</t>
  </si>
  <si>
    <t>RM02978206</t>
  </si>
  <si>
    <t>501605-00069</t>
  </si>
  <si>
    <t>530101-01136</t>
  </si>
  <si>
    <t>581801-01335</t>
  </si>
  <si>
    <t>泡棉缓冲垫_1235mm*240mm</t>
  </si>
  <si>
    <t>RM03037510</t>
  </si>
  <si>
    <t>530100-00502</t>
  </si>
  <si>
    <t>电箱密封垫_T4.76_100</t>
  </si>
  <si>
    <t>581801-00702</t>
  </si>
  <si>
    <t>500405-00231</t>
  </si>
  <si>
    <t>箱盖_冲压_电箱</t>
  </si>
  <si>
    <t>581801-01080</t>
  </si>
  <si>
    <t>500101-01177</t>
  </si>
  <si>
    <t>下箱体_钣金_电箱_加强版</t>
  </si>
  <si>
    <t>500401-00554</t>
  </si>
  <si>
    <t>箱盖-BUS-钣金</t>
  </si>
  <si>
    <t>500105-00202</t>
  </si>
  <si>
    <t>220200-00026</t>
  </si>
  <si>
    <t>组合六角头螺栓_M5x16_涂胶</t>
  </si>
  <si>
    <t>340440-00083</t>
  </si>
  <si>
    <t>高压继电器_电气</t>
  </si>
  <si>
    <t>380240-00018</t>
  </si>
  <si>
    <t>通讯模块_电气</t>
  </si>
  <si>
    <t>500601-03804</t>
  </si>
  <si>
    <t>支架_钣金_固定支架</t>
  </si>
  <si>
    <t>500606-00891</t>
  </si>
  <si>
    <t>支架_注塑_固定支架_shunt安装件</t>
  </si>
  <si>
    <t>550251-04740</t>
  </si>
  <si>
    <t>合计</t>
  </si>
  <si>
    <t>开票信息：公司名称：宁家(北京)汽车服务有限公司
税务号：91110107MAD88A6FXJ
公司地址：北京市大兴区金盛大街2号院12住号楼4层401-13(集群注册)
开户行：中国建设银行股份有限公司北京丰盛支行
银行账号： 11050161610000000322
行号：
宁家(北京)汽车服务有限公司
收件地址：北京市北京市大兴区荣华街道科创二街6号宁家(北京)汽车服务有限公司
收件人：贾相如：15709746334</t>
  </si>
  <si>
    <t xml:space="preserve"> PN</t>
  </si>
  <si>
    <t>名称</t>
  </si>
  <si>
    <t>结构胶_2KTSA 0904C_A组分(400ml)</t>
  </si>
  <si>
    <t>结构胶_2KTSA 0904C_B组分(400ml)</t>
  </si>
  <si>
    <t>500109-00426</t>
  </si>
  <si>
    <t>530101-00190</t>
  </si>
  <si>
    <t>500605-00097</t>
  </si>
  <si>
    <t>530100-00933</t>
  </si>
  <si>
    <t>密封圈垫</t>
  </si>
  <si>
    <t>581801-00993</t>
  </si>
  <si>
    <t>500403-00131</t>
  </si>
  <si>
    <t>530200-00038</t>
  </si>
  <si>
    <t>平衡防爆阀</t>
  </si>
  <si>
    <t>500101-01293</t>
  </si>
  <si>
    <t>下箱体_钣金_电箱</t>
  </si>
  <si>
    <t>150300-00064</t>
  </si>
  <si>
    <t>密封胶</t>
  </si>
  <si>
    <t>290500-00006</t>
  </si>
  <si>
    <t>中部挂载结构_顶部套筒</t>
  </si>
  <si>
    <t>200400-00089</t>
  </si>
  <si>
    <t>非标螺栓_六角法兰面组合螺栓_M6×20_预涂胶</t>
  </si>
  <si>
    <t>200400-00106</t>
  </si>
  <si>
    <t>非标螺栓_六角法兰面组合螺栓_M5×25_预涂胶</t>
  </si>
  <si>
    <t>500606-01125</t>
  </si>
  <si>
    <t>支架_注塑_挡块_封堵盖</t>
  </si>
  <si>
    <t>501605-00075</t>
  </si>
  <si>
    <t>220400-00003</t>
  </si>
  <si>
    <t>M5x14组合十字槽凹穴六角头螺栓</t>
  </si>
  <si>
    <t>580106-00028</t>
  </si>
  <si>
    <t>天线保护罩</t>
  </si>
  <si>
    <t>520301-00160</t>
  </si>
  <si>
    <t>软铝巴</t>
  </si>
  <si>
    <t>540651-00291</t>
  </si>
  <si>
    <t>金属加热膜_1P26S125Ah</t>
  </si>
  <si>
    <t>550650-00666</t>
  </si>
  <si>
    <t>FPC组件_正极出线</t>
  </si>
  <si>
    <t>580200-00693</t>
  </si>
  <si>
    <t>模组底部绝缘片_140Ah_13S</t>
  </si>
  <si>
    <t>550551-00044</t>
  </si>
  <si>
    <t>580200-01389</t>
  </si>
  <si>
    <t>绝缘罩_M8螺栓</t>
  </si>
  <si>
    <t>200200-00032</t>
  </si>
  <si>
    <t>M6x160六角法兰面螺栓</t>
  </si>
  <si>
    <t>220400-00008</t>
  </si>
  <si>
    <t>M5x16组合十字槽凹穴六角头螺栓</t>
  </si>
  <si>
    <t>200200-00008</t>
  </si>
  <si>
    <t>M6x10六角法兰面螺栓</t>
  </si>
  <si>
    <t>550551-00005</t>
  </si>
  <si>
    <t>220400-00020</t>
  </si>
  <si>
    <t>组合十字槽凹穴六角头螺栓_M4×10</t>
  </si>
  <si>
    <t>220151-00003</t>
  </si>
  <si>
    <t>M3x12组合十字盘头螺钉</t>
  </si>
  <si>
    <t>230100-00002</t>
  </si>
  <si>
    <t>M4六角法兰面螺母</t>
  </si>
  <si>
    <t>290500-00007</t>
  </si>
  <si>
    <t>500601-02499</t>
  </si>
  <si>
    <t>支架_钣金_支撑板_底护板</t>
  </si>
  <si>
    <t>530100-00926</t>
  </si>
  <si>
    <t>水冷密封条</t>
  </si>
  <si>
    <t>581801-00692</t>
  </si>
  <si>
    <t>500110-00182</t>
  </si>
  <si>
    <t>530101-01291</t>
  </si>
  <si>
    <t>500109-00043</t>
  </si>
  <si>
    <t>530100-00649</t>
  </si>
  <si>
    <t>500403-00073</t>
  </si>
  <si>
    <t>540250-00148</t>
  </si>
  <si>
    <t>水冷连接管</t>
  </si>
  <si>
    <t>290400-00027</t>
  </si>
  <si>
    <t>单耳无极卡箍</t>
  </si>
  <si>
    <t>540250-00149</t>
  </si>
  <si>
    <t>540250-00150</t>
  </si>
  <si>
    <t>540250-00151</t>
  </si>
  <si>
    <t>540250-00206</t>
  </si>
  <si>
    <t>501605-00248</t>
  </si>
  <si>
    <t>530101-01337</t>
  </si>
  <si>
    <t>581801-01432</t>
  </si>
  <si>
    <t>290500-00008</t>
  </si>
  <si>
    <t>箱盖_钣金_电箱_T0.8_EMV_L125</t>
  </si>
  <si>
    <t>200200-00011</t>
  </si>
  <si>
    <t>M6x16六角法兰面螺栓</t>
  </si>
  <si>
    <t>230100-00004</t>
  </si>
  <si>
    <t>M6六角法兰面螺母</t>
  </si>
  <si>
    <t>530200-00002</t>
  </si>
  <si>
    <t>平衡阀</t>
  </si>
  <si>
    <t>500109-00183</t>
  </si>
  <si>
    <t>530101-00007</t>
  </si>
  <si>
    <t>发泡硅胶密封件_箱体</t>
  </si>
  <si>
    <t>540300-00049</t>
  </si>
  <si>
    <t>法兰盘</t>
  </si>
  <si>
    <t>540300-00050</t>
  </si>
  <si>
    <t>500109-00047</t>
  </si>
  <si>
    <t>530100-00883</t>
  </si>
  <si>
    <t>密封圈_上盖02</t>
  </si>
  <si>
    <t>530100-00964</t>
  </si>
  <si>
    <t>500109-00269</t>
  </si>
  <si>
    <t>501605-00150</t>
  </si>
  <si>
    <t>530101-01153</t>
  </si>
  <si>
    <t>500109-00053</t>
  </si>
  <si>
    <t>530100-00939</t>
  </si>
  <si>
    <t>密封圈条</t>
  </si>
  <si>
    <t>550251-02686</t>
  </si>
  <si>
    <t>530100-00934</t>
  </si>
  <si>
    <t>密封圈_圆形</t>
  </si>
  <si>
    <t>501605-00223</t>
  </si>
  <si>
    <t>530101-01287</t>
  </si>
  <si>
    <t>581801-01329</t>
  </si>
  <si>
    <t>泡棉缓冲垫_1170mm*220mm</t>
  </si>
  <si>
    <t>500601-02405</t>
  </si>
  <si>
    <t>200200-00110</t>
  </si>
  <si>
    <t>六角法兰面螺栓_M5×25mm</t>
  </si>
  <si>
    <t>200200-00132</t>
  </si>
  <si>
    <t>六角法兰面螺栓_M5×20_预涂胶</t>
  </si>
  <si>
    <t>500601-03184</t>
  </si>
  <si>
    <t>500604-00169</t>
  </si>
  <si>
    <t>支架_挤压_支撑板_底护板</t>
  </si>
  <si>
    <t>产品PN</t>
  </si>
  <si>
    <t>服务站单价</t>
  </si>
  <si>
    <t>终端价格</t>
  </si>
  <si>
    <t>数量</t>
  </si>
  <si>
    <t>200200-00006</t>
  </si>
  <si>
    <t>200200-00015</t>
  </si>
  <si>
    <t>M6x90六角法兰面螺栓</t>
  </si>
  <si>
    <t>200200-00018</t>
  </si>
  <si>
    <t>M6x100六角法兰面螺栓</t>
  </si>
  <si>
    <t>200200-00051</t>
  </si>
  <si>
    <t>210650-00022</t>
  </si>
  <si>
    <t>内六角花形盘头螺钉_M4X10</t>
  </si>
  <si>
    <t>210650-00029</t>
  </si>
  <si>
    <t>M6×16内六角花形盘头螺钉</t>
  </si>
  <si>
    <t>220400-00011</t>
  </si>
  <si>
    <t>M4x16组合十字槽凹穴六角头螺栓</t>
  </si>
  <si>
    <t>230350-00003</t>
  </si>
  <si>
    <t>M4_1型六角螺母</t>
  </si>
  <si>
    <t>550551-00006</t>
  </si>
  <si>
    <t>550551-00045</t>
  </si>
  <si>
    <t>580200-01043</t>
  </si>
  <si>
    <t>缓冲垫</t>
  </si>
  <si>
    <t>580200-02506</t>
  </si>
  <si>
    <t>绝缘条_1P16S</t>
  </si>
  <si>
    <t>580200-02507</t>
  </si>
  <si>
    <t>绝缘条_1P6S</t>
  </si>
  <si>
    <t>500405-00101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</si>
</sst>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4" borderId="8">
      <alignment vertical="center"/>
    </xf>
    <xf numFmtId="0" fontId="21" fillId="5" borderId="9">
      <alignment vertical="center"/>
    </xf>
    <xf numFmtId="0" fontId="22" fillId="5" borderId="8">
      <alignment vertical="center"/>
    </xf>
    <xf numFmtId="0" fontId="23" fillId="6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</cellStyleXfs>
  <cellXfs count="29"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176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176" fontId="4" fillId="0" borderId="1" xfId="0" applyNumberFormat="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top" wrapText="1"/>
    </xf>
    <xf numFmtId="176" fontId="11" fillId="0" borderId="3" xfId="0" applyNumberFormat="1" applyFont="1" applyFill="1" applyBorder="1" applyAlignment="1">
      <alignment horizontal="left" vertical="top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top" wrapText="1"/>
    </xf>
    <xf numFmtId="176" fontId="11" fillId="0" borderId="4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1"/>
  <sheetViews>
    <sheetView tabSelected="1" zoomScale="90" zoomScaleNormal="90" workbookViewId="0">
      <selection activeCell="D10" sqref="D10"/>
    </sheetView>
  </sheetViews>
  <sheetFormatPr defaultColWidth="9" defaultRowHeight="13.5" outlineLevelCol="6"/>
  <cols>
    <col min="1" max="1" width="9" style="2"/>
    <col min="2" max="2" width="24.1583333333333" style="4" customWidth="1"/>
    <col min="3" max="3" width="15.6333333333333" style="5" customWidth="1"/>
    <col min="4" max="4" width="38.375" style="2" customWidth="1"/>
    <col min="5" max="5" width="8.125" style="2" customWidth="1"/>
    <col min="6" max="6" width="8.375" style="4" customWidth="1"/>
    <col min="7" max="7" width="15.1333333333333" style="4" customWidth="1"/>
    <col min="8" max="16384" width="9" style="2"/>
  </cols>
  <sheetData>
    <row r="1" s="2" customFormat="1" ht="30" customHeight="1" spans="1:7">
      <c r="A1" s="6" t="s">
        <v>0</v>
      </c>
      <c r="B1" s="7"/>
      <c r="C1" s="6"/>
      <c r="D1" s="6"/>
      <c r="E1" s="6"/>
      <c r="F1" s="7"/>
      <c r="G1" s="7"/>
    </row>
    <row r="2" s="2" customFormat="1" spans="1:7">
      <c r="A2" s="8" t="s">
        <v>1</v>
      </c>
      <c r="B2" s="9"/>
      <c r="C2" s="10"/>
      <c r="D2" s="11"/>
      <c r="E2" s="11"/>
      <c r="F2" s="12" t="s">
        <v>2</v>
      </c>
      <c r="G2" s="9"/>
    </row>
    <row r="3" s="2" customFormat="1" spans="1:7">
      <c r="A3" s="8" t="s">
        <v>3</v>
      </c>
      <c r="B3" s="9"/>
      <c r="C3" s="10"/>
      <c r="D3" s="11"/>
      <c r="E3" s="11"/>
      <c r="F3" s="12" t="s">
        <v>4</v>
      </c>
      <c r="G3" s="9"/>
    </row>
    <row r="4" s="2" customFormat="1" spans="1:7">
      <c r="A4" s="8" t="s">
        <v>5</v>
      </c>
      <c r="B4" s="9"/>
      <c r="C4" s="10"/>
      <c r="D4" s="11"/>
      <c r="E4" s="11"/>
      <c r="F4" s="12" t="s">
        <v>6</v>
      </c>
      <c r="G4" s="9"/>
    </row>
    <row r="5" s="2" customFormat="1" spans="1:7">
      <c r="A5" s="13" t="s">
        <v>7</v>
      </c>
      <c r="B5" s="14" t="s">
        <v>8</v>
      </c>
      <c r="C5" s="15" t="s">
        <v>9</v>
      </c>
      <c r="D5" s="16" t="s">
        <v>10</v>
      </c>
      <c r="E5" s="13" t="s">
        <v>11</v>
      </c>
      <c r="F5" s="14" t="s">
        <v>12</v>
      </c>
      <c r="G5" s="14" t="s">
        <v>13</v>
      </c>
    </row>
    <row r="6" s="3" customFormat="1" ht="23" customHeight="1" spans="1:7">
      <c r="A6" s="13">
        <v>1</v>
      </c>
      <c r="B6" s="17" t="s">
        <v>14</v>
      </c>
      <c r="C6" s="17" t="s">
        <v>15</v>
      </c>
      <c r="D6" s="16" t="s">
        <v>16</v>
      </c>
      <c r="E6" s="17">
        <v>260</v>
      </c>
      <c r="F6" s="17">
        <v>0.14</v>
      </c>
      <c r="G6" s="17">
        <v>36.4</v>
      </c>
    </row>
    <row r="7" s="3" customFormat="1" ht="23" customHeight="1" spans="1:7">
      <c r="A7" s="13">
        <v>2</v>
      </c>
      <c r="B7" s="17" t="s">
        <v>14</v>
      </c>
      <c r="C7" s="17" t="s">
        <v>17</v>
      </c>
      <c r="D7" s="16" t="s">
        <v>18</v>
      </c>
      <c r="E7" s="17">
        <v>260</v>
      </c>
      <c r="F7" s="17">
        <v>0.14</v>
      </c>
      <c r="G7" s="17">
        <v>36.4</v>
      </c>
    </row>
    <row r="8" s="3" customFormat="1" ht="23" customHeight="1" spans="1:7">
      <c r="A8" s="13">
        <v>3</v>
      </c>
      <c r="B8" s="17" t="s">
        <v>14</v>
      </c>
      <c r="C8" s="17" t="s">
        <v>19</v>
      </c>
      <c r="D8" s="16" t="s">
        <v>20</v>
      </c>
      <c r="E8" s="17">
        <v>1</v>
      </c>
      <c r="F8" s="17">
        <v>2530.74</v>
      </c>
      <c r="G8" s="17">
        <v>2530.74</v>
      </c>
    </row>
    <row r="9" s="3" customFormat="1" ht="23" customHeight="1" spans="1:7">
      <c r="A9" s="13">
        <v>4</v>
      </c>
      <c r="B9" s="17" t="s">
        <v>14</v>
      </c>
      <c r="C9" s="17" t="s">
        <v>21</v>
      </c>
      <c r="D9" s="16" t="s">
        <v>22</v>
      </c>
      <c r="E9" s="17">
        <v>1</v>
      </c>
      <c r="F9" s="17">
        <v>117.03</v>
      </c>
      <c r="G9" s="17">
        <v>117.03</v>
      </c>
    </row>
    <row r="10" s="3" customFormat="1" ht="23" customHeight="1" spans="1:7">
      <c r="A10" s="13">
        <v>5</v>
      </c>
      <c r="B10" s="17" t="s">
        <v>14</v>
      </c>
      <c r="C10" s="17" t="s">
        <v>23</v>
      </c>
      <c r="D10" s="16" t="s">
        <v>24</v>
      </c>
      <c r="E10" s="17">
        <v>128</v>
      </c>
      <c r="F10" s="17">
        <v>1.38</v>
      </c>
      <c r="G10" s="17">
        <v>176.64</v>
      </c>
    </row>
    <row r="11" s="3" customFormat="1" ht="23" customHeight="1" spans="1:7">
      <c r="A11" s="13">
        <v>6</v>
      </c>
      <c r="B11" s="17" t="s">
        <v>14</v>
      </c>
      <c r="C11" s="17" t="s">
        <v>25</v>
      </c>
      <c r="D11" s="16" t="s">
        <v>26</v>
      </c>
      <c r="E11" s="17">
        <v>1</v>
      </c>
      <c r="F11" s="17">
        <v>153.77</v>
      </c>
      <c r="G11" s="17">
        <v>153.77</v>
      </c>
    </row>
    <row r="12" s="3" customFormat="1" ht="23" customHeight="1" spans="1:7">
      <c r="A12" s="13">
        <v>7</v>
      </c>
      <c r="B12" s="17" t="s">
        <v>14</v>
      </c>
      <c r="C12" s="17" t="s">
        <v>27</v>
      </c>
      <c r="D12" s="16" t="s">
        <v>26</v>
      </c>
      <c r="E12" s="17">
        <v>1</v>
      </c>
      <c r="F12" s="17">
        <v>142.85</v>
      </c>
      <c r="G12" s="17">
        <v>142.85</v>
      </c>
    </row>
    <row r="13" s="3" customFormat="1" ht="23" customHeight="1" spans="1:7">
      <c r="A13" s="13">
        <v>8</v>
      </c>
      <c r="B13" s="17" t="s">
        <v>14</v>
      </c>
      <c r="C13" s="17" t="s">
        <v>28</v>
      </c>
      <c r="D13" s="16" t="s">
        <v>26</v>
      </c>
      <c r="E13" s="17">
        <v>1</v>
      </c>
      <c r="F13" s="17">
        <v>153.34</v>
      </c>
      <c r="G13" s="17">
        <v>153.34</v>
      </c>
    </row>
    <row r="14" s="3" customFormat="1" ht="23" customHeight="1" spans="1:7">
      <c r="A14" s="13">
        <v>9</v>
      </c>
      <c r="B14" s="17" t="s">
        <v>14</v>
      </c>
      <c r="C14" s="17" t="s">
        <v>29</v>
      </c>
      <c r="D14" s="16" t="s">
        <v>26</v>
      </c>
      <c r="E14" s="17">
        <v>1</v>
      </c>
      <c r="F14" s="17">
        <v>122</v>
      </c>
      <c r="G14" s="17">
        <v>122</v>
      </c>
    </row>
    <row r="15" s="3" customFormat="1" ht="23" customHeight="1" spans="1:7">
      <c r="A15" s="13">
        <v>10</v>
      </c>
      <c r="B15" s="17" t="s">
        <v>14</v>
      </c>
      <c r="C15" s="17" t="s">
        <v>30</v>
      </c>
      <c r="D15" s="16" t="s">
        <v>26</v>
      </c>
      <c r="E15" s="17">
        <v>1</v>
      </c>
      <c r="F15" s="17">
        <v>122</v>
      </c>
      <c r="G15" s="17">
        <v>122</v>
      </c>
    </row>
    <row r="16" s="3" customFormat="1" ht="23" customHeight="1" spans="1:7">
      <c r="A16" s="13">
        <v>11</v>
      </c>
      <c r="B16" s="17" t="s">
        <v>14</v>
      </c>
      <c r="C16" s="17" t="s">
        <v>31</v>
      </c>
      <c r="D16" s="16" t="s">
        <v>32</v>
      </c>
      <c r="E16" s="17">
        <v>1</v>
      </c>
      <c r="F16" s="17">
        <v>5780.55</v>
      </c>
      <c r="G16" s="17">
        <v>5780.55</v>
      </c>
    </row>
    <row r="17" s="3" customFormat="1" ht="23" customHeight="1" spans="1:7">
      <c r="A17" s="13">
        <v>12</v>
      </c>
      <c r="B17" s="17" t="s">
        <v>14</v>
      </c>
      <c r="C17" s="17" t="s">
        <v>33</v>
      </c>
      <c r="D17" s="16" t="s">
        <v>22</v>
      </c>
      <c r="E17" s="17">
        <v>1</v>
      </c>
      <c r="F17" s="17">
        <v>151.66</v>
      </c>
      <c r="G17" s="17">
        <v>151.66</v>
      </c>
    </row>
    <row r="18" s="3" customFormat="1" ht="23" customHeight="1" spans="1:7">
      <c r="A18" s="13">
        <v>13</v>
      </c>
      <c r="B18" s="17" t="s">
        <v>14</v>
      </c>
      <c r="C18" s="17" t="s">
        <v>34</v>
      </c>
      <c r="D18" s="16" t="s">
        <v>35</v>
      </c>
      <c r="E18" s="17">
        <v>1</v>
      </c>
      <c r="F18" s="17">
        <v>574.65</v>
      </c>
      <c r="G18" s="17">
        <v>574.65</v>
      </c>
    </row>
    <row r="19" s="3" customFormat="1" ht="23" customHeight="1" spans="1:7">
      <c r="A19" s="13">
        <v>14</v>
      </c>
      <c r="B19" s="17" t="s">
        <v>14</v>
      </c>
      <c r="C19" s="17" t="s">
        <v>36</v>
      </c>
      <c r="D19" s="16" t="s">
        <v>37</v>
      </c>
      <c r="E19" s="17">
        <v>1</v>
      </c>
      <c r="F19" s="17">
        <v>22.48</v>
      </c>
      <c r="G19" s="17">
        <v>22.48</v>
      </c>
    </row>
    <row r="20" s="3" customFormat="1" ht="23" customHeight="1" spans="1:7">
      <c r="A20" s="13">
        <v>15</v>
      </c>
      <c r="B20" s="17" t="s">
        <v>14</v>
      </c>
      <c r="C20" s="17" t="s">
        <v>38</v>
      </c>
      <c r="D20" s="16" t="s">
        <v>37</v>
      </c>
      <c r="E20" s="17">
        <v>2</v>
      </c>
      <c r="F20" s="17">
        <v>22.65</v>
      </c>
      <c r="G20" s="17">
        <v>45.3</v>
      </c>
    </row>
    <row r="21" s="3" customFormat="1" ht="23" customHeight="1" spans="1:7">
      <c r="A21" s="13">
        <v>16</v>
      </c>
      <c r="B21" s="17" t="s">
        <v>14</v>
      </c>
      <c r="C21" s="17" t="s">
        <v>39</v>
      </c>
      <c r="D21" s="16" t="s">
        <v>40</v>
      </c>
      <c r="E21" s="17">
        <v>1</v>
      </c>
      <c r="F21" s="17">
        <v>748.53</v>
      </c>
      <c r="G21" s="17">
        <v>748.53</v>
      </c>
    </row>
    <row r="22" s="3" customFormat="1" ht="23" customHeight="1" spans="1:7">
      <c r="A22" s="13">
        <v>17</v>
      </c>
      <c r="B22" s="17" t="s">
        <v>14</v>
      </c>
      <c r="C22" s="17" t="s">
        <v>41</v>
      </c>
      <c r="D22" s="16" t="s">
        <v>42</v>
      </c>
      <c r="E22" s="17">
        <v>1</v>
      </c>
      <c r="F22" s="17">
        <v>1297.03</v>
      </c>
      <c r="G22" s="17">
        <v>1297.03</v>
      </c>
    </row>
    <row r="23" s="3" customFormat="1" ht="23" customHeight="1" spans="1:7">
      <c r="A23" s="13">
        <v>18</v>
      </c>
      <c r="B23" s="17" t="s">
        <v>14</v>
      </c>
      <c r="C23" s="17" t="s">
        <v>15</v>
      </c>
      <c r="D23" s="16" t="s">
        <v>16</v>
      </c>
      <c r="E23" s="17">
        <v>260</v>
      </c>
      <c r="F23" s="17">
        <v>0.14</v>
      </c>
      <c r="G23" s="17">
        <v>36.4</v>
      </c>
    </row>
    <row r="24" s="3" customFormat="1" ht="23" customHeight="1" spans="1:7">
      <c r="A24" s="13">
        <v>19</v>
      </c>
      <c r="B24" s="17" t="s">
        <v>14</v>
      </c>
      <c r="C24" s="17" t="s">
        <v>17</v>
      </c>
      <c r="D24" s="16" t="s">
        <v>18</v>
      </c>
      <c r="E24" s="17">
        <v>260</v>
      </c>
      <c r="F24" s="17">
        <v>0.14</v>
      </c>
      <c r="G24" s="17">
        <v>36.4</v>
      </c>
    </row>
    <row r="25" s="3" customFormat="1" ht="23" customHeight="1" spans="1:7">
      <c r="A25" s="13">
        <v>20</v>
      </c>
      <c r="B25" s="17" t="s">
        <v>14</v>
      </c>
      <c r="C25" s="17" t="s">
        <v>43</v>
      </c>
      <c r="D25" s="16" t="s">
        <v>44</v>
      </c>
      <c r="E25" s="17">
        <v>152</v>
      </c>
      <c r="F25" s="17">
        <v>0.8</v>
      </c>
      <c r="G25" s="17">
        <v>121.6</v>
      </c>
    </row>
    <row r="26" s="3" customFormat="1" ht="23" customHeight="1" spans="1:7">
      <c r="A26" s="13">
        <v>21</v>
      </c>
      <c r="B26" s="17" t="s">
        <v>14</v>
      </c>
      <c r="C26" s="17" t="s">
        <v>45</v>
      </c>
      <c r="D26" s="16" t="s">
        <v>46</v>
      </c>
      <c r="E26" s="17">
        <v>1</v>
      </c>
      <c r="F26" s="17">
        <v>2071.75</v>
      </c>
      <c r="G26" s="17">
        <v>2071.75</v>
      </c>
    </row>
    <row r="27" s="3" customFormat="1" ht="23" customHeight="1" spans="1:7">
      <c r="A27" s="13">
        <v>22</v>
      </c>
      <c r="B27" s="17" t="s">
        <v>14</v>
      </c>
      <c r="C27" s="17" t="s">
        <v>47</v>
      </c>
      <c r="D27" s="16" t="s">
        <v>48</v>
      </c>
      <c r="E27" s="17">
        <v>6</v>
      </c>
      <c r="F27" s="17">
        <v>21.37</v>
      </c>
      <c r="G27" s="17">
        <v>128.22</v>
      </c>
    </row>
    <row r="28" s="3" customFormat="1" ht="23" customHeight="1" spans="1:7">
      <c r="A28" s="13">
        <v>23</v>
      </c>
      <c r="B28" s="17" t="s">
        <v>14</v>
      </c>
      <c r="C28" s="17" t="s">
        <v>49</v>
      </c>
      <c r="D28" s="16" t="s">
        <v>22</v>
      </c>
      <c r="E28" s="17">
        <v>1</v>
      </c>
      <c r="F28" s="17">
        <v>128.89</v>
      </c>
      <c r="G28" s="17">
        <v>128.89</v>
      </c>
    </row>
    <row r="29" s="3" customFormat="1" ht="23" customHeight="1" spans="1:7">
      <c r="A29" s="13">
        <v>24</v>
      </c>
      <c r="B29" s="17" t="s">
        <v>14</v>
      </c>
      <c r="C29" s="17" t="s">
        <v>50</v>
      </c>
      <c r="D29" s="16" t="s">
        <v>22</v>
      </c>
      <c r="E29" s="17">
        <v>1</v>
      </c>
      <c r="F29" s="17">
        <v>67.51</v>
      </c>
      <c r="G29" s="17">
        <v>67.51</v>
      </c>
    </row>
    <row r="30" s="3" customFormat="1" ht="23" customHeight="1" spans="1:7">
      <c r="A30" s="13">
        <v>25</v>
      </c>
      <c r="B30" s="17" t="s">
        <v>14</v>
      </c>
      <c r="C30" s="17" t="s">
        <v>51</v>
      </c>
      <c r="D30" s="16" t="s">
        <v>52</v>
      </c>
      <c r="E30" s="17">
        <v>2</v>
      </c>
      <c r="F30" s="17">
        <v>33.65</v>
      </c>
      <c r="G30" s="17">
        <v>67.3</v>
      </c>
    </row>
    <row r="31" s="3" customFormat="1" ht="23" customHeight="1" spans="1:7">
      <c r="A31" s="13">
        <v>26</v>
      </c>
      <c r="B31" s="17" t="s">
        <v>14</v>
      </c>
      <c r="C31" s="17" t="s">
        <v>53</v>
      </c>
      <c r="D31" s="16" t="s">
        <v>54</v>
      </c>
      <c r="E31" s="17">
        <v>1</v>
      </c>
      <c r="F31" s="17">
        <v>142.13</v>
      </c>
      <c r="G31" s="17">
        <v>142.13</v>
      </c>
    </row>
    <row r="32" s="3" customFormat="1" ht="23" customHeight="1" spans="1:7">
      <c r="A32" s="13">
        <v>27</v>
      </c>
      <c r="B32" s="17" t="s">
        <v>14</v>
      </c>
      <c r="C32" s="17" t="s">
        <v>55</v>
      </c>
      <c r="D32" s="16" t="s">
        <v>56</v>
      </c>
      <c r="E32" s="17">
        <v>4</v>
      </c>
      <c r="F32" s="17">
        <v>70.55</v>
      </c>
      <c r="G32" s="17">
        <v>282.2</v>
      </c>
    </row>
    <row r="33" s="3" customFormat="1" ht="23" customHeight="1" spans="1:7">
      <c r="A33" s="13">
        <v>28</v>
      </c>
      <c r="B33" s="17" t="s">
        <v>14</v>
      </c>
      <c r="C33" s="17" t="s">
        <v>57</v>
      </c>
      <c r="D33" s="16" t="s">
        <v>58</v>
      </c>
      <c r="E33" s="17">
        <v>1</v>
      </c>
      <c r="F33" s="17">
        <v>2469.54</v>
      </c>
      <c r="G33" s="17">
        <v>2469.54</v>
      </c>
    </row>
    <row r="34" s="3" customFormat="1" ht="23" customHeight="1" spans="1:7">
      <c r="A34" s="13">
        <v>29</v>
      </c>
      <c r="B34" s="17" t="s">
        <v>14</v>
      </c>
      <c r="C34" s="17" t="s">
        <v>59</v>
      </c>
      <c r="D34" s="16" t="s">
        <v>22</v>
      </c>
      <c r="E34" s="17">
        <v>1</v>
      </c>
      <c r="F34" s="17">
        <v>67.84</v>
      </c>
      <c r="G34" s="17">
        <v>67.84</v>
      </c>
    </row>
    <row r="35" s="3" customFormat="1" ht="23" customHeight="1" spans="1:7">
      <c r="A35" s="13">
        <v>30</v>
      </c>
      <c r="B35" s="17" t="s">
        <v>14</v>
      </c>
      <c r="C35" s="17" t="s">
        <v>60</v>
      </c>
      <c r="D35" s="16" t="s">
        <v>22</v>
      </c>
      <c r="E35" s="17">
        <v>1</v>
      </c>
      <c r="F35" s="17">
        <v>0.81</v>
      </c>
      <c r="G35" s="17">
        <v>0.81</v>
      </c>
    </row>
    <row r="36" s="3" customFormat="1" ht="23" customHeight="1" spans="1:7">
      <c r="A36" s="13">
        <v>31</v>
      </c>
      <c r="B36" s="17" t="s">
        <v>14</v>
      </c>
      <c r="C36" s="17" t="s">
        <v>61</v>
      </c>
      <c r="D36" s="16" t="s">
        <v>37</v>
      </c>
      <c r="E36" s="17">
        <v>6</v>
      </c>
      <c r="F36" s="17">
        <v>30.3</v>
      </c>
      <c r="G36" s="17">
        <v>181.8</v>
      </c>
    </row>
    <row r="37" s="3" customFormat="1" ht="23" customHeight="1" spans="1:7">
      <c r="A37" s="13">
        <v>32</v>
      </c>
      <c r="B37" s="17" t="s">
        <v>14</v>
      </c>
      <c r="C37" s="17" t="s">
        <v>62</v>
      </c>
      <c r="D37" s="16" t="s">
        <v>58</v>
      </c>
      <c r="E37" s="17">
        <v>1</v>
      </c>
      <c r="F37" s="17">
        <v>2087.01</v>
      </c>
      <c r="G37" s="17">
        <v>2087.01</v>
      </c>
    </row>
    <row r="38" s="3" customFormat="1" ht="23" customHeight="1" spans="1:7">
      <c r="A38" s="13">
        <v>33</v>
      </c>
      <c r="B38" s="17" t="s">
        <v>14</v>
      </c>
      <c r="C38" s="17" t="s">
        <v>63</v>
      </c>
      <c r="D38" s="16" t="s">
        <v>64</v>
      </c>
      <c r="E38" s="17">
        <v>1</v>
      </c>
      <c r="F38" s="17">
        <v>78.59</v>
      </c>
      <c r="G38" s="17">
        <v>78.59</v>
      </c>
    </row>
    <row r="39" s="3" customFormat="1" ht="23" customHeight="1" spans="1:7">
      <c r="A39" s="13">
        <v>34</v>
      </c>
      <c r="B39" s="17" t="s">
        <v>14</v>
      </c>
      <c r="C39" s="17" t="s">
        <v>65</v>
      </c>
      <c r="D39" s="16" t="s">
        <v>66</v>
      </c>
      <c r="E39" s="17">
        <v>2</v>
      </c>
      <c r="F39" s="17">
        <v>47.63</v>
      </c>
      <c r="G39" s="17">
        <v>95.26</v>
      </c>
    </row>
    <row r="40" s="3" customFormat="1" ht="23" customHeight="1" spans="1:7">
      <c r="A40" s="13">
        <v>35</v>
      </c>
      <c r="B40" s="17" t="s">
        <v>14</v>
      </c>
      <c r="C40" s="17" t="s">
        <v>67</v>
      </c>
      <c r="D40" s="16" t="s">
        <v>68</v>
      </c>
      <c r="E40" s="17">
        <v>1</v>
      </c>
      <c r="F40" s="17">
        <v>38.81</v>
      </c>
      <c r="G40" s="17">
        <v>38.81</v>
      </c>
    </row>
    <row r="41" s="3" customFormat="1" ht="23" customHeight="1" spans="1:7">
      <c r="A41" s="13">
        <v>36</v>
      </c>
      <c r="B41" s="17" t="s">
        <v>14</v>
      </c>
      <c r="C41" s="17" t="s">
        <v>69</v>
      </c>
      <c r="D41" s="16" t="s">
        <v>70</v>
      </c>
      <c r="E41" s="17">
        <v>3</v>
      </c>
      <c r="F41" s="17">
        <v>48.51</v>
      </c>
      <c r="G41" s="17">
        <v>145.53</v>
      </c>
    </row>
    <row r="42" s="3" customFormat="1" ht="23" customHeight="1" spans="1:7">
      <c r="A42" s="13">
        <v>37</v>
      </c>
      <c r="B42" s="17" t="s">
        <v>14</v>
      </c>
      <c r="C42" s="17" t="s">
        <v>71</v>
      </c>
      <c r="D42" s="16" t="s">
        <v>72</v>
      </c>
      <c r="E42" s="17">
        <v>233</v>
      </c>
      <c r="F42" s="17">
        <v>2.14</v>
      </c>
      <c r="G42" s="17">
        <v>498.62</v>
      </c>
    </row>
    <row r="43" s="3" customFormat="1" ht="23" customHeight="1" spans="1:7">
      <c r="A43" s="13">
        <v>38</v>
      </c>
      <c r="B43" s="17" t="s">
        <v>14</v>
      </c>
      <c r="C43" s="17" t="s">
        <v>73</v>
      </c>
      <c r="D43" s="16" t="s">
        <v>74</v>
      </c>
      <c r="E43" s="17">
        <v>1</v>
      </c>
      <c r="F43" s="17">
        <v>6341.06</v>
      </c>
      <c r="G43" s="17">
        <v>6341.06</v>
      </c>
    </row>
    <row r="44" s="3" customFormat="1" ht="23" customHeight="1" spans="1:7">
      <c r="A44" s="13">
        <v>39</v>
      </c>
      <c r="B44" s="17" t="s">
        <v>14</v>
      </c>
      <c r="C44" s="17" t="s">
        <v>75</v>
      </c>
      <c r="D44" s="16" t="s">
        <v>76</v>
      </c>
      <c r="E44" s="17">
        <v>3</v>
      </c>
      <c r="F44" s="17">
        <v>40.35</v>
      </c>
      <c r="G44" s="17">
        <v>121.05</v>
      </c>
    </row>
    <row r="45" s="3" customFormat="1" ht="23" customHeight="1" spans="1:7">
      <c r="A45" s="13">
        <v>40</v>
      </c>
      <c r="B45" s="17" t="s">
        <v>14</v>
      </c>
      <c r="C45" s="17" t="s">
        <v>77</v>
      </c>
      <c r="D45" s="16" t="s">
        <v>26</v>
      </c>
      <c r="E45" s="17">
        <v>1</v>
      </c>
      <c r="F45" s="17">
        <v>143.9</v>
      </c>
      <c r="G45" s="17">
        <v>143.9</v>
      </c>
    </row>
    <row r="46" s="3" customFormat="1" ht="23" customHeight="1" spans="1:7">
      <c r="A46" s="13">
        <v>41</v>
      </c>
      <c r="B46" s="17" t="s">
        <v>14</v>
      </c>
      <c r="C46" s="17" t="s">
        <v>78</v>
      </c>
      <c r="D46" s="16" t="s">
        <v>79</v>
      </c>
      <c r="E46" s="17">
        <v>3</v>
      </c>
      <c r="F46" s="17">
        <v>6.6</v>
      </c>
      <c r="G46" s="17">
        <v>19.8</v>
      </c>
    </row>
    <row r="47" s="3" customFormat="1" ht="23" customHeight="1" spans="1:7">
      <c r="A47" s="13">
        <v>42</v>
      </c>
      <c r="B47" s="17" t="s">
        <v>14</v>
      </c>
      <c r="C47" s="17" t="s">
        <v>80</v>
      </c>
      <c r="D47" s="16" t="s">
        <v>37</v>
      </c>
      <c r="E47" s="17">
        <v>3</v>
      </c>
      <c r="F47" s="17">
        <v>35.32</v>
      </c>
      <c r="G47" s="17">
        <v>105.96</v>
      </c>
    </row>
    <row r="48" s="3" customFormat="1" ht="23" customHeight="1" spans="1:7">
      <c r="A48" s="13">
        <v>43</v>
      </c>
      <c r="B48" s="17" t="s">
        <v>14</v>
      </c>
      <c r="C48" s="17" t="s">
        <v>81</v>
      </c>
      <c r="D48" s="16" t="s">
        <v>20</v>
      </c>
      <c r="E48" s="17">
        <v>1</v>
      </c>
      <c r="F48" s="17">
        <v>1826.12</v>
      </c>
      <c r="G48" s="17">
        <v>1826.12</v>
      </c>
    </row>
    <row r="49" s="3" customFormat="1" ht="23" customHeight="1" spans="1:7">
      <c r="A49" s="13">
        <v>44</v>
      </c>
      <c r="B49" s="17" t="s">
        <v>82</v>
      </c>
      <c r="C49" s="17" t="s">
        <v>51</v>
      </c>
      <c r="D49" s="16" t="s">
        <v>52</v>
      </c>
      <c r="E49" s="17">
        <v>1</v>
      </c>
      <c r="F49" s="17">
        <v>33.65</v>
      </c>
      <c r="G49" s="17">
        <v>33.65</v>
      </c>
    </row>
    <row r="50" s="3" customFormat="1" ht="23" customHeight="1" spans="1:7">
      <c r="A50" s="13">
        <v>45</v>
      </c>
      <c r="B50" s="17" t="s">
        <v>82</v>
      </c>
      <c r="C50" s="17" t="s">
        <v>43</v>
      </c>
      <c r="D50" s="16" t="s">
        <v>44</v>
      </c>
      <c r="E50" s="17">
        <v>84</v>
      </c>
      <c r="F50" s="17">
        <v>0.8</v>
      </c>
      <c r="G50" s="17">
        <v>67.2</v>
      </c>
    </row>
    <row r="51" s="3" customFormat="1" ht="23" customHeight="1" spans="1:7">
      <c r="A51" s="13">
        <v>46</v>
      </c>
      <c r="B51" s="17" t="s">
        <v>82</v>
      </c>
      <c r="C51" s="17" t="s">
        <v>55</v>
      </c>
      <c r="D51" s="16" t="s">
        <v>56</v>
      </c>
      <c r="E51" s="17">
        <v>4</v>
      </c>
      <c r="F51" s="17">
        <v>70.55</v>
      </c>
      <c r="G51" s="17">
        <v>282.2</v>
      </c>
    </row>
    <row r="52" s="3" customFormat="1" ht="23" customHeight="1" spans="1:7">
      <c r="A52" s="13">
        <v>47</v>
      </c>
      <c r="B52" s="17" t="s">
        <v>82</v>
      </c>
      <c r="C52" s="17" t="s">
        <v>59</v>
      </c>
      <c r="D52" s="16" t="s">
        <v>22</v>
      </c>
      <c r="E52" s="17">
        <v>1</v>
      </c>
      <c r="F52" s="17">
        <v>67.84</v>
      </c>
      <c r="G52" s="17">
        <v>67.84</v>
      </c>
    </row>
    <row r="53" s="3" customFormat="1" ht="23" customHeight="1" spans="1:7">
      <c r="A53" s="13">
        <v>48</v>
      </c>
      <c r="B53" s="17" t="s">
        <v>82</v>
      </c>
      <c r="C53" s="17" t="s">
        <v>83</v>
      </c>
      <c r="D53" s="16" t="s">
        <v>84</v>
      </c>
      <c r="E53" s="17">
        <v>4</v>
      </c>
      <c r="F53" s="17">
        <v>2.64</v>
      </c>
      <c r="G53" s="17">
        <v>10.56</v>
      </c>
    </row>
    <row r="54" s="3" customFormat="1" ht="23" customHeight="1" spans="1:7">
      <c r="A54" s="13">
        <v>49</v>
      </c>
      <c r="B54" s="17" t="s">
        <v>82</v>
      </c>
      <c r="C54" s="17" t="s">
        <v>61</v>
      </c>
      <c r="D54" s="16" t="s">
        <v>37</v>
      </c>
      <c r="E54" s="17">
        <v>6</v>
      </c>
      <c r="F54" s="17">
        <v>30.3</v>
      </c>
      <c r="G54" s="17">
        <v>181.8</v>
      </c>
    </row>
    <row r="55" s="3" customFormat="1" ht="23" customHeight="1" spans="1:7">
      <c r="A55" s="13">
        <v>50</v>
      </c>
      <c r="B55" s="17" t="s">
        <v>82</v>
      </c>
      <c r="C55" s="17" t="s">
        <v>53</v>
      </c>
      <c r="D55" s="16" t="s">
        <v>54</v>
      </c>
      <c r="E55" s="17">
        <v>1</v>
      </c>
      <c r="F55" s="17">
        <v>142.13</v>
      </c>
      <c r="G55" s="17">
        <v>142.13</v>
      </c>
    </row>
    <row r="56" s="3" customFormat="1" ht="23" customHeight="1" spans="1:7">
      <c r="A56" s="13">
        <v>51</v>
      </c>
      <c r="B56" s="17" t="s">
        <v>82</v>
      </c>
      <c r="C56" s="17" t="s">
        <v>15</v>
      </c>
      <c r="D56" s="16" t="s">
        <v>16</v>
      </c>
      <c r="E56" s="17">
        <v>260</v>
      </c>
      <c r="F56" s="17">
        <v>0.14</v>
      </c>
      <c r="G56" s="17">
        <v>36.4</v>
      </c>
    </row>
    <row r="57" s="3" customFormat="1" ht="23" customHeight="1" spans="1:7">
      <c r="A57" s="13">
        <v>52</v>
      </c>
      <c r="B57" s="17" t="s">
        <v>82</v>
      </c>
      <c r="C57" s="17" t="s">
        <v>17</v>
      </c>
      <c r="D57" s="16" t="s">
        <v>18</v>
      </c>
      <c r="E57" s="17">
        <v>260</v>
      </c>
      <c r="F57" s="17">
        <v>0.14</v>
      </c>
      <c r="G57" s="17">
        <v>36.4</v>
      </c>
    </row>
    <row r="58" s="3" customFormat="1" ht="23" customHeight="1" spans="1:7">
      <c r="A58" s="13">
        <v>53</v>
      </c>
      <c r="B58" s="17" t="s">
        <v>82</v>
      </c>
      <c r="C58" s="17" t="s">
        <v>57</v>
      </c>
      <c r="D58" s="16" t="s">
        <v>58</v>
      </c>
      <c r="E58" s="17">
        <v>1</v>
      </c>
      <c r="F58" s="17">
        <v>2469.54</v>
      </c>
      <c r="G58" s="18">
        <v>2469.54</v>
      </c>
    </row>
    <row r="59" s="3" customFormat="1" ht="23" customHeight="1" spans="1:7">
      <c r="A59" s="13">
        <v>54</v>
      </c>
      <c r="B59" s="17" t="s">
        <v>82</v>
      </c>
      <c r="C59" s="17" t="s">
        <v>85</v>
      </c>
      <c r="D59" s="16" t="s">
        <v>86</v>
      </c>
      <c r="E59" s="17">
        <v>1</v>
      </c>
      <c r="F59" s="17">
        <v>6709.07</v>
      </c>
      <c r="G59" s="18">
        <v>6709.07</v>
      </c>
    </row>
    <row r="60" s="3" customFormat="1" ht="23" customHeight="1" spans="1:7">
      <c r="A60" s="13">
        <v>55</v>
      </c>
      <c r="B60" s="17" t="s">
        <v>87</v>
      </c>
      <c r="C60" s="17" t="s">
        <v>15</v>
      </c>
      <c r="D60" s="16" t="s">
        <v>16</v>
      </c>
      <c r="E60" s="17">
        <v>260</v>
      </c>
      <c r="F60" s="17">
        <v>0.14</v>
      </c>
      <c r="G60" s="18">
        <v>36.4</v>
      </c>
    </row>
    <row r="61" s="3" customFormat="1" ht="23" customHeight="1" spans="1:7">
      <c r="A61" s="13">
        <v>56</v>
      </c>
      <c r="B61" s="17" t="s">
        <v>87</v>
      </c>
      <c r="C61" s="17" t="s">
        <v>17</v>
      </c>
      <c r="D61" s="16" t="s">
        <v>18</v>
      </c>
      <c r="E61" s="17">
        <v>260</v>
      </c>
      <c r="F61" s="17">
        <v>0.14</v>
      </c>
      <c r="G61" s="18">
        <v>36.4</v>
      </c>
    </row>
    <row r="62" s="3" customFormat="1" ht="23" customHeight="1" spans="1:7">
      <c r="A62" s="13">
        <v>57</v>
      </c>
      <c r="B62" s="17" t="s">
        <v>87</v>
      </c>
      <c r="C62" s="17" t="s">
        <v>88</v>
      </c>
      <c r="D62" s="16" t="s">
        <v>89</v>
      </c>
      <c r="E62" s="17">
        <v>52</v>
      </c>
      <c r="F62" s="17">
        <v>0.85</v>
      </c>
      <c r="G62" s="18">
        <v>44.2</v>
      </c>
    </row>
    <row r="63" s="3" customFormat="1" ht="23" customHeight="1" spans="1:7">
      <c r="A63" s="13">
        <v>58</v>
      </c>
      <c r="B63" s="17" t="s">
        <v>87</v>
      </c>
      <c r="C63" s="17" t="s">
        <v>90</v>
      </c>
      <c r="D63" s="16" t="s">
        <v>91</v>
      </c>
      <c r="E63" s="17">
        <v>1</v>
      </c>
      <c r="F63" s="17">
        <v>903.25</v>
      </c>
      <c r="G63" s="18">
        <v>903.25</v>
      </c>
    </row>
    <row r="64" s="3" customFormat="1" ht="23" customHeight="1" spans="1:7">
      <c r="A64" s="13">
        <v>59</v>
      </c>
      <c r="B64" s="17" t="s">
        <v>87</v>
      </c>
      <c r="C64" s="17" t="s">
        <v>92</v>
      </c>
      <c r="D64" s="16" t="s">
        <v>22</v>
      </c>
      <c r="E64" s="17">
        <v>1</v>
      </c>
      <c r="F64" s="17">
        <v>56.92</v>
      </c>
      <c r="G64" s="18">
        <v>56.92</v>
      </c>
    </row>
    <row r="65" s="3" customFormat="1" ht="23" customHeight="1" spans="1:7">
      <c r="A65" s="13">
        <v>60</v>
      </c>
      <c r="B65" s="17" t="s">
        <v>87</v>
      </c>
      <c r="C65" s="17" t="s">
        <v>93</v>
      </c>
      <c r="D65" s="16" t="s">
        <v>52</v>
      </c>
      <c r="E65" s="17">
        <v>1</v>
      </c>
      <c r="F65" s="17">
        <v>31.67</v>
      </c>
      <c r="G65" s="18">
        <v>31.67</v>
      </c>
    </row>
    <row r="66" s="3" customFormat="1" ht="23" customHeight="1" spans="1:7">
      <c r="A66" s="13">
        <v>61</v>
      </c>
      <c r="B66" s="17" t="s">
        <v>87</v>
      </c>
      <c r="C66" s="17" t="s">
        <v>94</v>
      </c>
      <c r="D66" s="16" t="s">
        <v>95</v>
      </c>
      <c r="E66" s="17">
        <v>12</v>
      </c>
      <c r="F66" s="17">
        <v>30.88</v>
      </c>
      <c r="G66" s="17">
        <v>370.56</v>
      </c>
    </row>
    <row r="67" s="3" customFormat="1" ht="23" customHeight="1" spans="1:7">
      <c r="A67" s="13">
        <v>62</v>
      </c>
      <c r="B67" s="17" t="s">
        <v>87</v>
      </c>
      <c r="C67" s="17" t="s">
        <v>96</v>
      </c>
      <c r="D67" s="16" t="s">
        <v>97</v>
      </c>
      <c r="E67" s="17">
        <v>9</v>
      </c>
      <c r="F67" s="17">
        <v>22.95</v>
      </c>
      <c r="G67" s="17">
        <v>206.55</v>
      </c>
    </row>
    <row r="68" s="3" customFormat="1" ht="23" customHeight="1" spans="1:7">
      <c r="A68" s="13">
        <v>63</v>
      </c>
      <c r="B68" s="17" t="s">
        <v>87</v>
      </c>
      <c r="C68" s="17" t="s">
        <v>98</v>
      </c>
      <c r="D68" s="16" t="s">
        <v>99</v>
      </c>
      <c r="E68" s="17">
        <v>1</v>
      </c>
      <c r="F68" s="17">
        <v>2750.29</v>
      </c>
      <c r="G68" s="17">
        <v>2750.29</v>
      </c>
    </row>
    <row r="69" s="3" customFormat="1" ht="23" customHeight="1" spans="1:7">
      <c r="A69" s="13">
        <v>64</v>
      </c>
      <c r="B69" s="17" t="s">
        <v>100</v>
      </c>
      <c r="C69" s="17" t="s">
        <v>33</v>
      </c>
      <c r="D69" s="16" t="s">
        <v>22</v>
      </c>
      <c r="E69" s="17">
        <v>1</v>
      </c>
      <c r="F69" s="17">
        <v>151.66</v>
      </c>
      <c r="G69" s="18">
        <v>151.66</v>
      </c>
    </row>
    <row r="70" s="3" customFormat="1" ht="23" customHeight="1" spans="1:7">
      <c r="A70" s="13">
        <v>65</v>
      </c>
      <c r="B70" s="17" t="s">
        <v>100</v>
      </c>
      <c r="C70" s="17" t="s">
        <v>36</v>
      </c>
      <c r="D70" s="16" t="s">
        <v>37</v>
      </c>
      <c r="E70" s="17">
        <v>1</v>
      </c>
      <c r="F70" s="17">
        <v>17.48</v>
      </c>
      <c r="G70" s="18">
        <v>17.48</v>
      </c>
    </row>
    <row r="71" s="3" customFormat="1" ht="23" customHeight="1" spans="1:7">
      <c r="A71" s="13">
        <v>66</v>
      </c>
      <c r="B71" s="17" t="s">
        <v>100</v>
      </c>
      <c r="C71" s="17" t="s">
        <v>38</v>
      </c>
      <c r="D71" s="16" t="s">
        <v>37</v>
      </c>
      <c r="E71" s="17">
        <v>2</v>
      </c>
      <c r="F71" s="17">
        <v>17.65</v>
      </c>
      <c r="G71" s="17">
        <v>35.3</v>
      </c>
    </row>
    <row r="72" s="3" customFormat="1" ht="23" customHeight="1" spans="1:7">
      <c r="A72" s="13">
        <v>67</v>
      </c>
      <c r="B72" s="17" t="s">
        <v>100</v>
      </c>
      <c r="C72" s="17" t="s">
        <v>31</v>
      </c>
      <c r="D72" s="16" t="s">
        <v>32</v>
      </c>
      <c r="E72" s="17">
        <v>1</v>
      </c>
      <c r="F72" s="17">
        <v>5780.55</v>
      </c>
      <c r="G72" s="18">
        <v>5780.55</v>
      </c>
    </row>
    <row r="73" s="3" customFormat="1" ht="23" customHeight="1" spans="1:7">
      <c r="A73" s="13">
        <v>68</v>
      </c>
      <c r="B73" s="17" t="s">
        <v>100</v>
      </c>
      <c r="C73" s="17" t="s">
        <v>101</v>
      </c>
      <c r="D73" s="16" t="s">
        <v>102</v>
      </c>
      <c r="E73" s="17">
        <v>1</v>
      </c>
      <c r="F73" s="17">
        <v>87.47</v>
      </c>
      <c r="G73" s="18">
        <v>87.47</v>
      </c>
    </row>
    <row r="74" s="2" customFormat="1" ht="23" customHeight="1" spans="1:7">
      <c r="A74" s="13">
        <v>69</v>
      </c>
      <c r="B74" s="17" t="s">
        <v>100</v>
      </c>
      <c r="C74" s="17" t="s">
        <v>103</v>
      </c>
      <c r="D74" s="16" t="s">
        <v>102</v>
      </c>
      <c r="E74" s="17">
        <v>1</v>
      </c>
      <c r="F74" s="17">
        <v>89.08</v>
      </c>
      <c r="G74" s="19">
        <v>89.08</v>
      </c>
    </row>
    <row r="75" s="2" customFormat="1" ht="23" customHeight="1" spans="1:7">
      <c r="A75" s="13">
        <v>70</v>
      </c>
      <c r="B75" s="17" t="s">
        <v>100</v>
      </c>
      <c r="C75" s="17" t="s">
        <v>104</v>
      </c>
      <c r="D75" s="16" t="s">
        <v>102</v>
      </c>
      <c r="E75" s="17">
        <v>1</v>
      </c>
      <c r="F75" s="17">
        <v>92.32</v>
      </c>
      <c r="G75" s="19">
        <v>92.32</v>
      </c>
    </row>
    <row r="76" s="2" customFormat="1" ht="23" customHeight="1" spans="1:7">
      <c r="A76" s="13">
        <v>71</v>
      </c>
      <c r="B76" s="17" t="s">
        <v>100</v>
      </c>
      <c r="C76" s="17" t="s">
        <v>105</v>
      </c>
      <c r="D76" s="16" t="s">
        <v>102</v>
      </c>
      <c r="E76" s="17">
        <v>1</v>
      </c>
      <c r="F76" s="17">
        <v>92.32</v>
      </c>
      <c r="G76" s="19">
        <v>92.32</v>
      </c>
    </row>
    <row r="77" s="2" customFormat="1" ht="23" customHeight="1" spans="1:7">
      <c r="A77" s="13">
        <v>72</v>
      </c>
      <c r="B77" s="17" t="s">
        <v>100</v>
      </c>
      <c r="C77" s="17" t="s">
        <v>106</v>
      </c>
      <c r="D77" s="16" t="s">
        <v>102</v>
      </c>
      <c r="E77" s="17">
        <v>1</v>
      </c>
      <c r="F77" s="17">
        <v>93.53</v>
      </c>
      <c r="G77" s="19">
        <v>93.53</v>
      </c>
    </row>
    <row r="78" s="2" customFormat="1" ht="23" customHeight="1" spans="1:7">
      <c r="A78" s="13">
        <v>73</v>
      </c>
      <c r="B78" s="17" t="s">
        <v>100</v>
      </c>
      <c r="C78" s="17" t="s">
        <v>107</v>
      </c>
      <c r="D78" s="16" t="s">
        <v>102</v>
      </c>
      <c r="E78" s="17">
        <v>1</v>
      </c>
      <c r="F78" s="17">
        <v>94.03</v>
      </c>
      <c r="G78" s="19">
        <v>94.03</v>
      </c>
    </row>
    <row r="79" s="2" customFormat="1" ht="23" customHeight="1" spans="1:7">
      <c r="A79" s="13">
        <v>74</v>
      </c>
      <c r="B79" s="17" t="s">
        <v>100</v>
      </c>
      <c r="C79" s="17" t="s">
        <v>53</v>
      </c>
      <c r="D79" s="16" t="s">
        <v>54</v>
      </c>
      <c r="E79" s="17">
        <v>1</v>
      </c>
      <c r="F79" s="17">
        <v>142.13</v>
      </c>
      <c r="G79" s="19">
        <v>142.13</v>
      </c>
    </row>
    <row r="80" s="2" customFormat="1" ht="23" customHeight="1" spans="1:7">
      <c r="A80" s="13">
        <v>75</v>
      </c>
      <c r="B80" s="20" t="s">
        <v>100</v>
      </c>
      <c r="C80" s="18" t="s">
        <v>78</v>
      </c>
      <c r="D80" s="16" t="s">
        <v>79</v>
      </c>
      <c r="E80" s="17">
        <v>3</v>
      </c>
      <c r="F80" s="17">
        <v>6.6</v>
      </c>
      <c r="G80" s="19">
        <v>19.8</v>
      </c>
    </row>
    <row r="81" s="2" customFormat="1" ht="23" customHeight="1" spans="1:7">
      <c r="A81" s="13">
        <v>76</v>
      </c>
      <c r="B81" s="20" t="s">
        <v>100</v>
      </c>
      <c r="C81" s="18" t="s">
        <v>15</v>
      </c>
      <c r="D81" s="16" t="s">
        <v>16</v>
      </c>
      <c r="E81" s="17">
        <v>260</v>
      </c>
      <c r="F81" s="18">
        <v>0.14</v>
      </c>
      <c r="G81" s="19">
        <v>36.4</v>
      </c>
    </row>
    <row r="82" s="2" customFormat="1" ht="23" customHeight="1" spans="1:7">
      <c r="A82" s="13">
        <v>77</v>
      </c>
      <c r="B82" s="20" t="s">
        <v>100</v>
      </c>
      <c r="C82" s="18" t="s">
        <v>17</v>
      </c>
      <c r="D82" s="16" t="s">
        <v>18</v>
      </c>
      <c r="E82" s="17">
        <v>260</v>
      </c>
      <c r="F82" s="18">
        <v>0.14</v>
      </c>
      <c r="G82" s="19">
        <v>36.4</v>
      </c>
    </row>
    <row r="83" s="2" customFormat="1" ht="23" customHeight="1" spans="1:7">
      <c r="A83" s="13">
        <v>78</v>
      </c>
      <c r="B83" s="20" t="s">
        <v>108</v>
      </c>
      <c r="C83" s="19" t="s">
        <v>109</v>
      </c>
      <c r="D83" s="16" t="s">
        <v>110</v>
      </c>
      <c r="E83" s="19">
        <v>72</v>
      </c>
      <c r="F83" s="19">
        <v>0.84</v>
      </c>
      <c r="G83" s="19">
        <v>60.48</v>
      </c>
    </row>
    <row r="84" s="2" customFormat="1" ht="23" customHeight="1" spans="1:7">
      <c r="A84" s="13">
        <v>79</v>
      </c>
      <c r="B84" s="20" t="s">
        <v>108</v>
      </c>
      <c r="C84" s="19" t="s">
        <v>111</v>
      </c>
      <c r="D84" s="16" t="s">
        <v>32</v>
      </c>
      <c r="E84" s="19">
        <v>1</v>
      </c>
      <c r="F84" s="19">
        <v>5429.51</v>
      </c>
      <c r="G84" s="17">
        <v>5429.51</v>
      </c>
    </row>
    <row r="85" s="2" customFormat="1" ht="23" customHeight="1" spans="1:7">
      <c r="A85" s="13">
        <v>80</v>
      </c>
      <c r="B85" s="20" t="s">
        <v>108</v>
      </c>
      <c r="C85" s="19" t="s">
        <v>78</v>
      </c>
      <c r="D85" s="16" t="s">
        <v>79</v>
      </c>
      <c r="E85" s="19">
        <v>3</v>
      </c>
      <c r="F85" s="19">
        <v>6.6</v>
      </c>
      <c r="G85" s="17">
        <v>19.8</v>
      </c>
    </row>
    <row r="86" s="2" customFormat="1" ht="23" customHeight="1" spans="1:7">
      <c r="A86" s="13">
        <v>81</v>
      </c>
      <c r="B86" s="20" t="s">
        <v>108</v>
      </c>
      <c r="C86" s="19" t="s">
        <v>33</v>
      </c>
      <c r="D86" s="16" t="s">
        <v>22</v>
      </c>
      <c r="E86" s="19">
        <v>1</v>
      </c>
      <c r="F86" s="19">
        <v>151.66</v>
      </c>
      <c r="G86" s="17">
        <v>151.66</v>
      </c>
    </row>
    <row r="87" s="2" customFormat="1" ht="23" customHeight="1" spans="1:7">
      <c r="A87" s="13">
        <v>82</v>
      </c>
      <c r="B87" s="20" t="s">
        <v>108</v>
      </c>
      <c r="C87" s="19" t="s">
        <v>71</v>
      </c>
      <c r="D87" s="16" t="s">
        <v>72</v>
      </c>
      <c r="E87" s="19">
        <v>7</v>
      </c>
      <c r="F87" s="19">
        <v>2.6</v>
      </c>
      <c r="G87" s="18">
        <v>18.2</v>
      </c>
    </row>
    <row r="88" s="2" customFormat="1" ht="23" customHeight="1" spans="1:7">
      <c r="A88" s="13">
        <v>83</v>
      </c>
      <c r="B88" s="20" t="s">
        <v>108</v>
      </c>
      <c r="C88" s="19" t="s">
        <v>112</v>
      </c>
      <c r="D88" s="16" t="s">
        <v>72</v>
      </c>
      <c r="E88" s="19">
        <v>5</v>
      </c>
      <c r="F88" s="19">
        <v>26.27</v>
      </c>
      <c r="G88" s="18">
        <v>131.35</v>
      </c>
    </row>
    <row r="89" s="2" customFormat="1" ht="23" customHeight="1" spans="1:7">
      <c r="A89" s="13">
        <v>84</v>
      </c>
      <c r="B89" s="20" t="s">
        <v>108</v>
      </c>
      <c r="C89" s="19" t="s">
        <v>113</v>
      </c>
      <c r="D89" s="16" t="s">
        <v>114</v>
      </c>
      <c r="E89" s="19">
        <v>60</v>
      </c>
      <c r="F89" s="19">
        <v>0.73</v>
      </c>
      <c r="G89" s="17">
        <v>43.8</v>
      </c>
    </row>
    <row r="90" s="2" customFormat="1" ht="23" customHeight="1" spans="1:7">
      <c r="A90" s="13">
        <v>85</v>
      </c>
      <c r="B90" s="20" t="s">
        <v>108</v>
      </c>
      <c r="C90" s="19" t="s">
        <v>115</v>
      </c>
      <c r="D90" s="16" t="s">
        <v>58</v>
      </c>
      <c r="E90" s="19">
        <v>1</v>
      </c>
      <c r="F90" s="19">
        <v>2302.82</v>
      </c>
      <c r="G90" s="17">
        <v>2302.82</v>
      </c>
    </row>
    <row r="91" s="2" customFormat="1" ht="23" customHeight="1" spans="1:7">
      <c r="A91" s="13">
        <v>86</v>
      </c>
      <c r="B91" s="20" t="s">
        <v>108</v>
      </c>
      <c r="C91" s="19" t="s">
        <v>116</v>
      </c>
      <c r="D91" s="16" t="s">
        <v>117</v>
      </c>
      <c r="E91" s="19">
        <v>2</v>
      </c>
      <c r="F91" s="19">
        <v>64.55</v>
      </c>
      <c r="G91" s="17">
        <v>129.1</v>
      </c>
    </row>
    <row r="92" s="2" customFormat="1" ht="23" customHeight="1" spans="1:7">
      <c r="A92" s="13">
        <v>87</v>
      </c>
      <c r="B92" s="20" t="s">
        <v>108</v>
      </c>
      <c r="C92" s="19" t="s">
        <v>118</v>
      </c>
      <c r="D92" s="16" t="s">
        <v>37</v>
      </c>
      <c r="E92" s="19">
        <v>4</v>
      </c>
      <c r="F92" s="19">
        <v>39.31</v>
      </c>
      <c r="G92" s="17">
        <v>157.24</v>
      </c>
    </row>
    <row r="93" s="2" customFormat="1" ht="23" customHeight="1" spans="1:7">
      <c r="A93" s="13">
        <v>88</v>
      </c>
      <c r="B93" s="20" t="s">
        <v>108</v>
      </c>
      <c r="C93" s="19" t="s">
        <v>119</v>
      </c>
      <c r="D93" s="16" t="s">
        <v>120</v>
      </c>
      <c r="E93" s="19">
        <v>16</v>
      </c>
      <c r="F93" s="19">
        <v>0.79</v>
      </c>
      <c r="G93" s="17">
        <v>12.64</v>
      </c>
    </row>
    <row r="94" s="2" customFormat="1" ht="23" customHeight="1" spans="1:7">
      <c r="A94" s="13">
        <v>89</v>
      </c>
      <c r="B94" s="20" t="s">
        <v>108</v>
      </c>
      <c r="C94" s="19" t="s">
        <v>121</v>
      </c>
      <c r="D94" s="16" t="s">
        <v>37</v>
      </c>
      <c r="E94" s="19">
        <v>8</v>
      </c>
      <c r="F94" s="19">
        <v>11.14</v>
      </c>
      <c r="G94" s="17">
        <v>89.12</v>
      </c>
    </row>
    <row r="95" s="2" customFormat="1" ht="23" customHeight="1" spans="1:7">
      <c r="A95" s="13">
        <v>90</v>
      </c>
      <c r="B95" s="20" t="s">
        <v>108</v>
      </c>
      <c r="C95" s="19" t="s">
        <v>122</v>
      </c>
      <c r="D95" s="16" t="s">
        <v>72</v>
      </c>
      <c r="E95" s="19">
        <v>1</v>
      </c>
      <c r="F95" s="19">
        <v>2.4</v>
      </c>
      <c r="G95" s="17">
        <v>2.4</v>
      </c>
    </row>
    <row r="96" s="2" customFormat="1" ht="23" customHeight="1" spans="1:7">
      <c r="A96" s="13">
        <v>91</v>
      </c>
      <c r="B96" s="20" t="s">
        <v>108</v>
      </c>
      <c r="C96" s="19" t="s">
        <v>93</v>
      </c>
      <c r="D96" s="16" t="s">
        <v>52</v>
      </c>
      <c r="E96" s="19">
        <v>2</v>
      </c>
      <c r="F96" s="19">
        <v>31.67</v>
      </c>
      <c r="G96" s="17">
        <v>63.34</v>
      </c>
    </row>
    <row r="97" s="2" customFormat="1" ht="23" customHeight="1" spans="1:7">
      <c r="A97" s="13">
        <v>92</v>
      </c>
      <c r="B97" s="20" t="s">
        <v>123</v>
      </c>
      <c r="C97" s="19" t="s">
        <v>124</v>
      </c>
      <c r="D97" s="16" t="s">
        <v>125</v>
      </c>
      <c r="E97" s="19">
        <v>20</v>
      </c>
      <c r="F97" s="19">
        <v>0.67</v>
      </c>
      <c r="G97" s="17">
        <v>13.4</v>
      </c>
    </row>
    <row r="98" s="2" customFormat="1" ht="23" customHeight="1" spans="1:7">
      <c r="A98" s="13">
        <v>93</v>
      </c>
      <c r="B98" s="20" t="s">
        <v>123</v>
      </c>
      <c r="C98" s="19" t="s">
        <v>126</v>
      </c>
      <c r="D98" s="16" t="s">
        <v>127</v>
      </c>
      <c r="E98" s="19">
        <v>4</v>
      </c>
      <c r="F98" s="19">
        <v>156.9</v>
      </c>
      <c r="G98" s="17">
        <v>627.6</v>
      </c>
    </row>
    <row r="99" s="2" customFormat="1" ht="23" customHeight="1" spans="1:7">
      <c r="A99" s="13">
        <v>94</v>
      </c>
      <c r="B99" s="20" t="s">
        <v>123</v>
      </c>
      <c r="C99" s="19" t="s">
        <v>71</v>
      </c>
      <c r="D99" s="16" t="s">
        <v>72</v>
      </c>
      <c r="E99" s="19">
        <v>108</v>
      </c>
      <c r="F99" s="19">
        <v>2.14</v>
      </c>
      <c r="G99" s="17">
        <v>231.12</v>
      </c>
    </row>
    <row r="100" s="2" customFormat="1" ht="23" customHeight="1" spans="1:7">
      <c r="A100" s="13">
        <v>95</v>
      </c>
      <c r="B100" s="20" t="s">
        <v>123</v>
      </c>
      <c r="C100" s="19" t="s">
        <v>128</v>
      </c>
      <c r="D100" s="16" t="s">
        <v>129</v>
      </c>
      <c r="E100" s="19">
        <v>16</v>
      </c>
      <c r="F100" s="19">
        <v>1.14</v>
      </c>
      <c r="G100" s="17">
        <v>18.24</v>
      </c>
    </row>
    <row r="101" s="2" customFormat="1" ht="23" customHeight="1" spans="1:7">
      <c r="A101" s="13">
        <v>96</v>
      </c>
      <c r="B101" s="20" t="s">
        <v>130</v>
      </c>
      <c r="C101" s="19" t="s">
        <v>43</v>
      </c>
      <c r="D101" s="16" t="s">
        <v>44</v>
      </c>
      <c r="E101" s="19">
        <v>40</v>
      </c>
      <c r="F101" s="19">
        <v>0.8</v>
      </c>
      <c r="G101" s="17">
        <v>32</v>
      </c>
    </row>
    <row r="102" s="2" customFormat="1" ht="23" customHeight="1" spans="1:7">
      <c r="A102" s="13">
        <v>97</v>
      </c>
      <c r="B102" s="20" t="s">
        <v>130</v>
      </c>
      <c r="C102" s="19" t="s">
        <v>131</v>
      </c>
      <c r="D102" s="16" t="s">
        <v>20</v>
      </c>
      <c r="E102" s="19">
        <v>1</v>
      </c>
      <c r="F102" s="19">
        <v>1959.02</v>
      </c>
      <c r="G102" s="17">
        <v>1959.02</v>
      </c>
    </row>
    <row r="103" s="2" customFormat="1" ht="23" customHeight="1" spans="1:7">
      <c r="A103" s="13">
        <v>98</v>
      </c>
      <c r="B103" s="20" t="s">
        <v>130</v>
      </c>
      <c r="C103" s="19" t="s">
        <v>113</v>
      </c>
      <c r="D103" s="16" t="s">
        <v>114</v>
      </c>
      <c r="E103" s="19">
        <v>75</v>
      </c>
      <c r="F103" s="19">
        <v>0.73</v>
      </c>
      <c r="G103" s="17">
        <v>54.75</v>
      </c>
    </row>
    <row r="104" s="2" customFormat="1" ht="23" customHeight="1" spans="1:7">
      <c r="A104" s="13">
        <v>99</v>
      </c>
      <c r="B104" s="20" t="s">
        <v>130</v>
      </c>
      <c r="C104" s="19" t="s">
        <v>55</v>
      </c>
      <c r="D104" s="16" t="s">
        <v>56</v>
      </c>
      <c r="E104" s="19">
        <v>4</v>
      </c>
      <c r="F104" s="19">
        <v>70.55</v>
      </c>
      <c r="G104" s="17">
        <v>282.2</v>
      </c>
    </row>
    <row r="105" s="2" customFormat="1" ht="23" customHeight="1" spans="1:7">
      <c r="A105" s="13">
        <v>100</v>
      </c>
      <c r="B105" s="20" t="s">
        <v>130</v>
      </c>
      <c r="C105" s="19" t="s">
        <v>132</v>
      </c>
      <c r="D105" s="16" t="s">
        <v>58</v>
      </c>
      <c r="E105" s="19">
        <v>1</v>
      </c>
      <c r="F105" s="19">
        <v>1834.92</v>
      </c>
      <c r="G105" s="17">
        <v>1834.92</v>
      </c>
    </row>
    <row r="106" s="2" customFormat="1" ht="23" customHeight="1" spans="1:7">
      <c r="A106" s="13">
        <v>101</v>
      </c>
      <c r="B106" s="20" t="s">
        <v>130</v>
      </c>
      <c r="C106" s="19" t="s">
        <v>133</v>
      </c>
      <c r="D106" s="16" t="s">
        <v>134</v>
      </c>
      <c r="E106" s="19">
        <v>1</v>
      </c>
      <c r="F106" s="19">
        <v>118.34</v>
      </c>
      <c r="G106" s="17">
        <v>118.34</v>
      </c>
    </row>
    <row r="107" s="2" customFormat="1" ht="23" customHeight="1" spans="1:7">
      <c r="A107" s="13">
        <v>102</v>
      </c>
      <c r="B107" s="20" t="s">
        <v>130</v>
      </c>
      <c r="C107" s="19" t="s">
        <v>135</v>
      </c>
      <c r="D107" s="16" t="s">
        <v>136</v>
      </c>
      <c r="E107" s="19">
        <v>1</v>
      </c>
      <c r="F107" s="19">
        <v>113.03</v>
      </c>
      <c r="G107" s="17">
        <v>113.03</v>
      </c>
    </row>
    <row r="108" s="2" customFormat="1" ht="23" customHeight="1" spans="1:7">
      <c r="A108" s="13">
        <v>103</v>
      </c>
      <c r="B108" s="20" t="s">
        <v>130</v>
      </c>
      <c r="C108" s="19" t="s">
        <v>137</v>
      </c>
      <c r="D108" s="16" t="s">
        <v>37</v>
      </c>
      <c r="E108" s="19">
        <v>6</v>
      </c>
      <c r="F108" s="19">
        <v>85.06</v>
      </c>
      <c r="G108" s="17">
        <v>510.36</v>
      </c>
    </row>
    <row r="109" s="2" customFormat="1" ht="23" customHeight="1" spans="1:7">
      <c r="A109" s="13">
        <v>104</v>
      </c>
      <c r="B109" s="20" t="s">
        <v>130</v>
      </c>
      <c r="C109" s="19" t="s">
        <v>138</v>
      </c>
      <c r="D109" s="16" t="s">
        <v>139</v>
      </c>
      <c r="E109" s="19">
        <v>1</v>
      </c>
      <c r="F109" s="19">
        <v>77.3</v>
      </c>
      <c r="G109" s="17">
        <v>77.3</v>
      </c>
    </row>
    <row r="110" s="2" customFormat="1" ht="23" customHeight="1" spans="1:7">
      <c r="A110" s="13">
        <v>105</v>
      </c>
      <c r="B110" s="20" t="s">
        <v>140</v>
      </c>
      <c r="C110" s="19" t="s">
        <v>141</v>
      </c>
      <c r="D110" s="16" t="s">
        <v>20</v>
      </c>
      <c r="E110" s="19">
        <v>1</v>
      </c>
      <c r="F110" s="19">
        <v>1803</v>
      </c>
      <c r="G110" s="17">
        <v>1803</v>
      </c>
    </row>
    <row r="111" s="2" customFormat="1" ht="23" customHeight="1" spans="1:7">
      <c r="A111" s="13">
        <v>106</v>
      </c>
      <c r="B111" s="20" t="s">
        <v>140</v>
      </c>
      <c r="C111" s="19" t="s">
        <v>142</v>
      </c>
      <c r="D111" s="16" t="s">
        <v>32</v>
      </c>
      <c r="E111" s="19">
        <v>1</v>
      </c>
      <c r="F111" s="19">
        <v>8187.21</v>
      </c>
      <c r="G111" s="17">
        <v>8187.21</v>
      </c>
    </row>
    <row r="112" s="2" customFormat="1" ht="23" customHeight="1" spans="1:7">
      <c r="A112" s="13">
        <v>107</v>
      </c>
      <c r="B112" s="20" t="s">
        <v>140</v>
      </c>
      <c r="C112" s="19" t="s">
        <v>23</v>
      </c>
      <c r="D112" s="16" t="s">
        <v>24</v>
      </c>
      <c r="E112" s="19">
        <v>63</v>
      </c>
      <c r="F112" s="19">
        <v>1.38</v>
      </c>
      <c r="G112" s="17">
        <v>86.94</v>
      </c>
    </row>
    <row r="113" s="2" customFormat="1" ht="23" customHeight="1" spans="1:7">
      <c r="A113" s="13">
        <v>108</v>
      </c>
      <c r="B113" s="20" t="s">
        <v>140</v>
      </c>
      <c r="C113" s="19" t="s">
        <v>143</v>
      </c>
      <c r="D113" s="16" t="s">
        <v>144</v>
      </c>
      <c r="E113" s="19">
        <v>3</v>
      </c>
      <c r="F113" s="19">
        <v>24.4</v>
      </c>
      <c r="G113" s="17">
        <v>73.2</v>
      </c>
    </row>
    <row r="114" s="2" customFormat="1" ht="23" customHeight="1" spans="1:7">
      <c r="A114" s="13">
        <v>109</v>
      </c>
      <c r="B114" s="20" t="s">
        <v>140</v>
      </c>
      <c r="C114" s="19" t="s">
        <v>145</v>
      </c>
      <c r="D114" s="16" t="s">
        <v>22</v>
      </c>
      <c r="E114" s="19">
        <v>1</v>
      </c>
      <c r="F114" s="19">
        <v>79.22</v>
      </c>
      <c r="G114" s="17">
        <v>79.22</v>
      </c>
    </row>
    <row r="115" s="2" customFormat="1" ht="23" customHeight="1" spans="1:7">
      <c r="A115" s="13">
        <v>110</v>
      </c>
      <c r="B115" s="20" t="s">
        <v>140</v>
      </c>
      <c r="C115" s="19" t="s">
        <v>146</v>
      </c>
      <c r="D115" s="16" t="s">
        <v>147</v>
      </c>
      <c r="E115" s="19">
        <v>2</v>
      </c>
      <c r="F115" s="19">
        <v>80.45</v>
      </c>
      <c r="G115" s="17">
        <v>160.9</v>
      </c>
    </row>
    <row r="116" s="2" customFormat="1" ht="23" customHeight="1" spans="1:7">
      <c r="A116" s="13">
        <v>111</v>
      </c>
      <c r="B116" s="20" t="s">
        <v>140</v>
      </c>
      <c r="C116" s="19" t="s">
        <v>43</v>
      </c>
      <c r="D116" s="16" t="s">
        <v>44</v>
      </c>
      <c r="E116" s="19">
        <v>45</v>
      </c>
      <c r="F116" s="19">
        <v>0.8</v>
      </c>
      <c r="G116" s="17">
        <v>36</v>
      </c>
    </row>
    <row r="117" s="2" customFormat="1" ht="23" customHeight="1" spans="1:7">
      <c r="A117" s="13">
        <v>112</v>
      </c>
      <c r="B117" s="20" t="s">
        <v>140</v>
      </c>
      <c r="C117" s="19" t="s">
        <v>148</v>
      </c>
      <c r="D117" s="16" t="s">
        <v>149</v>
      </c>
      <c r="E117" s="19">
        <v>1</v>
      </c>
      <c r="F117" s="19">
        <v>1350.47</v>
      </c>
      <c r="G117" s="17">
        <v>1350.47</v>
      </c>
    </row>
    <row r="118" s="2" customFormat="1" ht="23" customHeight="1" spans="1:7">
      <c r="A118" s="13">
        <v>113</v>
      </c>
      <c r="B118" s="20" t="s">
        <v>140</v>
      </c>
      <c r="C118" s="19" t="s">
        <v>150</v>
      </c>
      <c r="D118" s="16" t="s">
        <v>64</v>
      </c>
      <c r="E118" s="19">
        <v>1</v>
      </c>
      <c r="F118" s="19">
        <v>78.89</v>
      </c>
      <c r="G118" s="17">
        <v>78.89</v>
      </c>
    </row>
    <row r="119" s="2" customFormat="1" ht="23" customHeight="1" spans="1:7">
      <c r="A119" s="13">
        <v>114</v>
      </c>
      <c r="B119" s="20" t="s">
        <v>140</v>
      </c>
      <c r="C119" s="19" t="s">
        <v>151</v>
      </c>
      <c r="D119" s="16" t="s">
        <v>37</v>
      </c>
      <c r="E119" s="19">
        <v>3</v>
      </c>
      <c r="F119" s="19">
        <v>24.28</v>
      </c>
      <c r="G119" s="17">
        <v>72.84</v>
      </c>
    </row>
    <row r="120" s="2" customFormat="1" ht="23" customHeight="1" spans="1:7">
      <c r="A120" s="13">
        <v>115</v>
      </c>
      <c r="B120" s="20" t="s">
        <v>140</v>
      </c>
      <c r="C120" s="19" t="s">
        <v>152</v>
      </c>
      <c r="D120" s="16" t="s">
        <v>153</v>
      </c>
      <c r="E120" s="19">
        <v>32</v>
      </c>
      <c r="F120" s="19">
        <v>1.44</v>
      </c>
      <c r="G120" s="17">
        <v>46.08</v>
      </c>
    </row>
    <row r="121" s="2" customFormat="1" ht="23" customHeight="1" spans="1:7">
      <c r="A121" s="13">
        <v>116</v>
      </c>
      <c r="B121" s="20" t="s">
        <v>140</v>
      </c>
      <c r="C121" s="19" t="s">
        <v>113</v>
      </c>
      <c r="D121" s="16" t="s">
        <v>114</v>
      </c>
      <c r="E121" s="19">
        <v>96</v>
      </c>
      <c r="F121" s="19">
        <v>0.73</v>
      </c>
      <c r="G121" s="17">
        <v>70.08</v>
      </c>
    </row>
    <row r="122" s="2" customFormat="1" ht="23" customHeight="1" spans="1:7">
      <c r="A122" s="13">
        <v>117</v>
      </c>
      <c r="B122" s="20" t="s">
        <v>140</v>
      </c>
      <c r="C122" s="19" t="s">
        <v>124</v>
      </c>
      <c r="D122" s="16" t="s">
        <v>125</v>
      </c>
      <c r="E122" s="19">
        <v>16</v>
      </c>
      <c r="F122" s="19">
        <v>0.67</v>
      </c>
      <c r="G122" s="17">
        <v>10.72</v>
      </c>
    </row>
    <row r="123" s="2" customFormat="1" ht="23" customHeight="1" spans="1:7">
      <c r="A123" s="13">
        <v>118</v>
      </c>
      <c r="B123" s="20" t="s">
        <v>140</v>
      </c>
      <c r="C123" s="19" t="s">
        <v>154</v>
      </c>
      <c r="D123" s="16" t="s">
        <v>155</v>
      </c>
      <c r="E123" s="19">
        <v>6</v>
      </c>
      <c r="F123" s="19">
        <v>40.42</v>
      </c>
      <c r="G123" s="17">
        <v>242.52</v>
      </c>
    </row>
    <row r="124" s="2" customFormat="1" ht="23" customHeight="1" spans="1:7">
      <c r="A124" s="13">
        <v>119</v>
      </c>
      <c r="B124" s="20" t="s">
        <v>140</v>
      </c>
      <c r="C124" s="19" t="s">
        <v>156</v>
      </c>
      <c r="D124" s="16" t="s">
        <v>22</v>
      </c>
      <c r="E124" s="19">
        <v>1</v>
      </c>
      <c r="F124" s="19">
        <v>46.65</v>
      </c>
      <c r="G124" s="17">
        <v>46.65</v>
      </c>
    </row>
    <row r="125" s="2" customFormat="1" ht="23" customHeight="1" spans="1:7">
      <c r="A125" s="13">
        <v>120</v>
      </c>
      <c r="B125" s="20" t="s">
        <v>140</v>
      </c>
      <c r="C125" s="19" t="s">
        <v>157</v>
      </c>
      <c r="D125" s="16" t="s">
        <v>158</v>
      </c>
      <c r="E125" s="19">
        <v>1</v>
      </c>
      <c r="F125" s="19">
        <v>177.06</v>
      </c>
      <c r="G125" s="17">
        <v>177.06</v>
      </c>
    </row>
    <row r="126" s="2" customFormat="1" ht="23" customHeight="1" spans="1:7">
      <c r="A126" s="13">
        <v>121</v>
      </c>
      <c r="B126" s="20" t="s">
        <v>140</v>
      </c>
      <c r="C126" s="19" t="s">
        <v>159</v>
      </c>
      <c r="D126" s="16" t="s">
        <v>160</v>
      </c>
      <c r="E126" s="19">
        <v>1</v>
      </c>
      <c r="F126" s="19">
        <v>37.74</v>
      </c>
      <c r="G126" s="17">
        <v>37.74</v>
      </c>
    </row>
    <row r="127" s="2" customFormat="1" ht="23" customHeight="1" spans="1:7">
      <c r="A127" s="13">
        <v>122</v>
      </c>
      <c r="B127" s="20" t="s">
        <v>140</v>
      </c>
      <c r="C127" s="19" t="s">
        <v>161</v>
      </c>
      <c r="D127" s="16" t="s">
        <v>162</v>
      </c>
      <c r="E127" s="19">
        <v>1</v>
      </c>
      <c r="F127" s="19">
        <v>291.46</v>
      </c>
      <c r="G127" s="17">
        <v>291.46</v>
      </c>
    </row>
    <row r="128" s="2" customFormat="1" ht="23" customHeight="1" spans="1:7">
      <c r="A128" s="13">
        <v>123</v>
      </c>
      <c r="B128" s="20" t="s">
        <v>140</v>
      </c>
      <c r="C128" s="19" t="s">
        <v>71</v>
      </c>
      <c r="D128" s="16" t="s">
        <v>72</v>
      </c>
      <c r="E128" s="19">
        <v>13</v>
      </c>
      <c r="F128" s="19">
        <v>2.14</v>
      </c>
      <c r="G128" s="17">
        <v>27.82</v>
      </c>
    </row>
    <row r="129" s="2" customFormat="1" ht="23" customHeight="1" spans="1:7">
      <c r="A129" s="13">
        <v>124</v>
      </c>
      <c r="B129" s="20" t="s">
        <v>140</v>
      </c>
      <c r="C129" s="19" t="s">
        <v>163</v>
      </c>
      <c r="D129" s="16" t="s">
        <v>37</v>
      </c>
      <c r="E129" s="19">
        <v>4</v>
      </c>
      <c r="F129" s="19">
        <v>14.85</v>
      </c>
      <c r="G129" s="17">
        <v>59.4</v>
      </c>
    </row>
    <row r="130" s="2" customFormat="1" ht="23" customHeight="1" spans="1:7">
      <c r="A130" s="13">
        <v>125</v>
      </c>
      <c r="B130" s="20" t="s">
        <v>140</v>
      </c>
      <c r="C130" s="19" t="s">
        <v>164</v>
      </c>
      <c r="D130" s="16" t="s">
        <v>165</v>
      </c>
      <c r="E130" s="19">
        <v>2</v>
      </c>
      <c r="F130" s="19">
        <v>80.45</v>
      </c>
      <c r="G130" s="17">
        <v>160.9</v>
      </c>
    </row>
    <row r="131" s="2" customFormat="1" ht="23" customHeight="1" spans="1:7">
      <c r="A131" s="13">
        <v>126</v>
      </c>
      <c r="B131" s="20" t="s">
        <v>140</v>
      </c>
      <c r="C131" s="19" t="s">
        <v>166</v>
      </c>
      <c r="D131" s="16" t="s">
        <v>167</v>
      </c>
      <c r="E131" s="19">
        <v>6</v>
      </c>
      <c r="F131" s="19">
        <v>0.66</v>
      </c>
      <c r="G131" s="17">
        <v>3.96</v>
      </c>
    </row>
    <row r="132" s="2" customFormat="1" ht="23" customHeight="1" spans="1:7">
      <c r="A132" s="13">
        <v>127</v>
      </c>
      <c r="B132" s="20" t="s">
        <v>140</v>
      </c>
      <c r="C132" s="19" t="s">
        <v>119</v>
      </c>
      <c r="D132" s="16" t="s">
        <v>120</v>
      </c>
      <c r="E132" s="19">
        <v>16</v>
      </c>
      <c r="F132" s="19">
        <v>0.85</v>
      </c>
      <c r="G132" s="17">
        <v>13.6</v>
      </c>
    </row>
    <row r="133" s="2" customFormat="1" ht="23" customHeight="1" spans="1:7">
      <c r="A133" s="13">
        <v>128</v>
      </c>
      <c r="B133" s="20" t="s">
        <v>140</v>
      </c>
      <c r="C133" s="19" t="s">
        <v>168</v>
      </c>
      <c r="D133" s="16" t="s">
        <v>169</v>
      </c>
      <c r="E133" s="19">
        <v>3</v>
      </c>
      <c r="F133" s="19">
        <v>0.77</v>
      </c>
      <c r="G133" s="17">
        <v>2.31</v>
      </c>
    </row>
    <row r="134" s="2" customFormat="1" ht="23" customHeight="1" spans="1:7">
      <c r="A134" s="13">
        <v>129</v>
      </c>
      <c r="B134" s="20" t="s">
        <v>140</v>
      </c>
      <c r="C134" s="19" t="s">
        <v>15</v>
      </c>
      <c r="D134" s="16" t="s">
        <v>16</v>
      </c>
      <c r="E134" s="19">
        <v>260</v>
      </c>
      <c r="F134" s="19">
        <v>0.14</v>
      </c>
      <c r="G134" s="17">
        <v>36.4</v>
      </c>
    </row>
    <row r="135" s="2" customFormat="1" ht="23" customHeight="1" spans="1:7">
      <c r="A135" s="13">
        <v>130</v>
      </c>
      <c r="B135" s="20" t="s">
        <v>140</v>
      </c>
      <c r="C135" s="19" t="s">
        <v>17</v>
      </c>
      <c r="D135" s="16" t="s">
        <v>18</v>
      </c>
      <c r="E135" s="19">
        <v>260</v>
      </c>
      <c r="F135" s="19">
        <v>0.14</v>
      </c>
      <c r="G135" s="17">
        <v>36.4</v>
      </c>
    </row>
    <row r="136" s="2" customFormat="1" ht="23" customHeight="1" spans="1:7">
      <c r="A136" s="13">
        <v>131</v>
      </c>
      <c r="B136" s="20" t="s">
        <v>170</v>
      </c>
      <c r="C136" s="19" t="s">
        <v>171</v>
      </c>
      <c r="D136" s="16" t="s">
        <v>74</v>
      </c>
      <c r="E136" s="19">
        <v>1</v>
      </c>
      <c r="F136" s="19">
        <v>5248.23</v>
      </c>
      <c r="G136" s="17">
        <v>5248.23</v>
      </c>
    </row>
    <row r="137" s="2" customFormat="1" ht="23" customHeight="1" spans="1:7">
      <c r="A137" s="13">
        <v>132</v>
      </c>
      <c r="B137" s="20" t="s">
        <v>170</v>
      </c>
      <c r="C137" s="19" t="s">
        <v>172</v>
      </c>
      <c r="D137" s="16" t="s">
        <v>173</v>
      </c>
      <c r="E137" s="19">
        <v>1</v>
      </c>
      <c r="F137" s="19">
        <v>4870.47</v>
      </c>
      <c r="G137" s="17">
        <v>4870.47</v>
      </c>
    </row>
    <row r="138" s="2" customFormat="1" ht="23" customHeight="1" spans="1:7">
      <c r="A138" s="13">
        <v>133</v>
      </c>
      <c r="B138" s="20" t="s">
        <v>170</v>
      </c>
      <c r="C138" s="19" t="s">
        <v>174</v>
      </c>
      <c r="D138" s="16" t="s">
        <v>22</v>
      </c>
      <c r="E138" s="19">
        <v>1</v>
      </c>
      <c r="F138" s="19">
        <v>65.64</v>
      </c>
      <c r="G138" s="17">
        <v>65.64</v>
      </c>
    </row>
    <row r="139" s="2" customFormat="1" ht="23" customHeight="1" spans="1:7">
      <c r="A139" s="13">
        <v>134</v>
      </c>
      <c r="B139" s="20" t="s">
        <v>170</v>
      </c>
      <c r="C139" s="19" t="s">
        <v>175</v>
      </c>
      <c r="D139" s="16" t="s">
        <v>22</v>
      </c>
      <c r="E139" s="19">
        <v>1</v>
      </c>
      <c r="F139" s="19">
        <v>102.42</v>
      </c>
      <c r="G139" s="17">
        <v>102.42</v>
      </c>
    </row>
    <row r="140" s="2" customFormat="1" ht="23" customHeight="1" spans="1:7">
      <c r="A140" s="13">
        <v>135</v>
      </c>
      <c r="B140" s="20" t="s">
        <v>170</v>
      </c>
      <c r="C140" s="19" t="s">
        <v>176</v>
      </c>
      <c r="D140" s="16" t="s">
        <v>37</v>
      </c>
      <c r="E140" s="19">
        <v>11</v>
      </c>
      <c r="F140" s="19">
        <v>22.43</v>
      </c>
      <c r="G140" s="17">
        <v>246.73</v>
      </c>
    </row>
    <row r="141" s="2" customFormat="1" ht="23" customHeight="1" spans="1:7">
      <c r="A141" s="13">
        <v>136</v>
      </c>
      <c r="B141" s="20" t="s">
        <v>170</v>
      </c>
      <c r="C141" s="19" t="s">
        <v>152</v>
      </c>
      <c r="D141" s="16" t="s">
        <v>153</v>
      </c>
      <c r="E141" s="19">
        <v>32</v>
      </c>
      <c r="F141" s="19">
        <v>1.44</v>
      </c>
      <c r="G141" s="17">
        <v>46.08</v>
      </c>
    </row>
    <row r="142" s="2" customFormat="1" ht="23" customHeight="1" spans="1:7">
      <c r="A142" s="13">
        <v>137</v>
      </c>
      <c r="B142" s="20" t="s">
        <v>170</v>
      </c>
      <c r="C142" s="19" t="s">
        <v>154</v>
      </c>
      <c r="D142" s="16" t="s">
        <v>155</v>
      </c>
      <c r="E142" s="19">
        <v>6</v>
      </c>
      <c r="F142" s="19">
        <v>40.42</v>
      </c>
      <c r="G142" s="17">
        <v>242.52</v>
      </c>
    </row>
    <row r="143" s="2" customFormat="1" ht="23" customHeight="1" spans="1:7">
      <c r="A143" s="13">
        <v>138</v>
      </c>
      <c r="B143" s="20" t="s">
        <v>170</v>
      </c>
      <c r="C143" s="19" t="s">
        <v>156</v>
      </c>
      <c r="D143" s="16" t="s">
        <v>22</v>
      </c>
      <c r="E143" s="19">
        <v>1</v>
      </c>
      <c r="F143" s="19">
        <v>46.65</v>
      </c>
      <c r="G143" s="17">
        <v>46.65</v>
      </c>
    </row>
    <row r="144" s="2" customFormat="1" ht="23" customHeight="1" spans="1:7">
      <c r="A144" s="13">
        <v>139</v>
      </c>
      <c r="B144" s="20" t="s">
        <v>170</v>
      </c>
      <c r="C144" s="19" t="s">
        <v>157</v>
      </c>
      <c r="D144" s="16" t="s">
        <v>158</v>
      </c>
      <c r="E144" s="19">
        <v>1</v>
      </c>
      <c r="F144" s="19">
        <v>177.06</v>
      </c>
      <c r="G144" s="17">
        <v>177.06</v>
      </c>
    </row>
    <row r="145" s="2" customFormat="1" ht="23" customHeight="1" spans="1:7">
      <c r="A145" s="13">
        <v>140</v>
      </c>
      <c r="B145" s="20" t="s">
        <v>170</v>
      </c>
      <c r="C145" s="19" t="s">
        <v>159</v>
      </c>
      <c r="D145" s="16" t="s">
        <v>160</v>
      </c>
      <c r="E145" s="19">
        <v>1</v>
      </c>
      <c r="F145" s="19">
        <v>37.74</v>
      </c>
      <c r="G145" s="17">
        <v>37.74</v>
      </c>
    </row>
    <row r="146" s="2" customFormat="1" ht="23" customHeight="1" spans="1:7">
      <c r="A146" s="13">
        <v>141</v>
      </c>
      <c r="B146" s="20" t="s">
        <v>170</v>
      </c>
      <c r="C146" s="19" t="s">
        <v>161</v>
      </c>
      <c r="D146" s="16" t="s">
        <v>162</v>
      </c>
      <c r="E146" s="19">
        <v>1</v>
      </c>
      <c r="F146" s="19">
        <v>291.46</v>
      </c>
      <c r="G146" s="17">
        <v>291.46</v>
      </c>
    </row>
    <row r="147" s="2" customFormat="1" ht="23" customHeight="1" spans="1:7">
      <c r="A147" s="13">
        <v>142</v>
      </c>
      <c r="B147" s="20" t="s">
        <v>170</v>
      </c>
      <c r="C147" s="19" t="s">
        <v>177</v>
      </c>
      <c r="D147" s="16" t="s">
        <v>178</v>
      </c>
      <c r="E147" s="19">
        <v>16</v>
      </c>
      <c r="F147" s="19">
        <v>0.81</v>
      </c>
      <c r="G147" s="17">
        <v>12.96</v>
      </c>
    </row>
    <row r="148" s="2" customFormat="1" ht="23" customHeight="1" spans="1:7">
      <c r="A148" s="13">
        <v>143</v>
      </c>
      <c r="B148" s="20" t="s">
        <v>170</v>
      </c>
      <c r="C148" s="19" t="s">
        <v>179</v>
      </c>
      <c r="D148" s="16" t="s">
        <v>180</v>
      </c>
      <c r="E148" s="19">
        <v>1</v>
      </c>
      <c r="F148" s="19">
        <v>146.02</v>
      </c>
      <c r="G148" s="17">
        <v>146.02</v>
      </c>
    </row>
    <row r="149" s="2" customFormat="1" ht="23" customHeight="1" spans="1:7">
      <c r="A149" s="13">
        <v>144</v>
      </c>
      <c r="B149" s="20" t="s">
        <v>170</v>
      </c>
      <c r="C149" s="19" t="s">
        <v>181</v>
      </c>
      <c r="D149" s="16" t="s">
        <v>182</v>
      </c>
      <c r="E149" s="19">
        <v>1</v>
      </c>
      <c r="F149" s="19">
        <v>27.49</v>
      </c>
      <c r="G149" s="17">
        <v>27.49</v>
      </c>
    </row>
    <row r="150" s="2" customFormat="1" ht="23" customHeight="1" spans="1:7">
      <c r="A150" s="13">
        <v>145</v>
      </c>
      <c r="B150" s="20" t="s">
        <v>170</v>
      </c>
      <c r="C150" s="19" t="s">
        <v>183</v>
      </c>
      <c r="D150" s="16" t="s">
        <v>184</v>
      </c>
      <c r="E150" s="19">
        <v>1</v>
      </c>
      <c r="F150" s="19">
        <v>17.52</v>
      </c>
      <c r="G150" s="17">
        <v>17.52</v>
      </c>
    </row>
    <row r="151" s="2" customFormat="1" ht="23" customHeight="1" spans="1:7">
      <c r="A151" s="13">
        <v>146</v>
      </c>
      <c r="B151" s="20" t="s">
        <v>170</v>
      </c>
      <c r="C151" s="19" t="s">
        <v>185</v>
      </c>
      <c r="D151" s="16" t="s">
        <v>186</v>
      </c>
      <c r="E151" s="19">
        <v>1</v>
      </c>
      <c r="F151" s="19">
        <v>138.77</v>
      </c>
      <c r="G151" s="17">
        <v>138.77</v>
      </c>
    </row>
    <row r="152" s="2" customFormat="1" ht="23" customHeight="1" spans="1:7">
      <c r="A152" s="13">
        <v>147</v>
      </c>
      <c r="B152" s="20" t="s">
        <v>170</v>
      </c>
      <c r="C152" s="19" t="s">
        <v>187</v>
      </c>
      <c r="D152" s="16" t="s">
        <v>22</v>
      </c>
      <c r="E152" s="19">
        <v>1</v>
      </c>
      <c r="F152" s="19">
        <v>84.17</v>
      </c>
      <c r="G152" s="17">
        <v>84.17</v>
      </c>
    </row>
    <row r="153" s="2" customFormat="1" ht="23" customHeight="1" spans="1:7">
      <c r="A153" s="13">
        <v>148</v>
      </c>
      <c r="B153" s="20" t="s">
        <v>170</v>
      </c>
      <c r="C153" s="19" t="s">
        <v>188</v>
      </c>
      <c r="D153" s="16" t="s">
        <v>189</v>
      </c>
      <c r="E153" s="19">
        <v>7</v>
      </c>
      <c r="F153" s="19">
        <v>12.28</v>
      </c>
      <c r="G153" s="17">
        <v>85.96</v>
      </c>
    </row>
    <row r="154" s="2" customFormat="1" ht="23" customHeight="1" spans="1:7">
      <c r="A154" s="13">
        <v>149</v>
      </c>
      <c r="B154" s="20" t="s">
        <v>170</v>
      </c>
      <c r="C154" s="19" t="s">
        <v>190</v>
      </c>
      <c r="D154" s="16" t="s">
        <v>191</v>
      </c>
      <c r="E154" s="19">
        <v>1</v>
      </c>
      <c r="F154" s="19">
        <v>4967.83</v>
      </c>
      <c r="G154" s="17">
        <v>4967.83</v>
      </c>
    </row>
    <row r="155" s="2" customFormat="1" ht="23" customHeight="1" spans="1:7">
      <c r="A155" s="13">
        <v>150</v>
      </c>
      <c r="B155" s="20" t="s">
        <v>170</v>
      </c>
      <c r="C155" s="19" t="s">
        <v>124</v>
      </c>
      <c r="D155" s="16" t="s">
        <v>125</v>
      </c>
      <c r="E155" s="19">
        <v>29</v>
      </c>
      <c r="F155" s="19">
        <v>0.67</v>
      </c>
      <c r="G155" s="17">
        <v>19.43</v>
      </c>
    </row>
    <row r="156" s="2" customFormat="1" ht="23" customHeight="1" spans="1:7">
      <c r="A156" s="13">
        <v>151</v>
      </c>
      <c r="B156" s="20" t="s">
        <v>170</v>
      </c>
      <c r="C156" s="19" t="s">
        <v>51</v>
      </c>
      <c r="D156" s="16" t="s">
        <v>52</v>
      </c>
      <c r="E156" s="19">
        <v>3</v>
      </c>
      <c r="F156" s="19">
        <v>33.65</v>
      </c>
      <c r="G156" s="17">
        <v>100.95</v>
      </c>
    </row>
    <row r="157" s="2" customFormat="1" ht="23" customHeight="1" spans="1:7">
      <c r="A157" s="13">
        <v>152</v>
      </c>
      <c r="B157" s="20" t="s">
        <v>170</v>
      </c>
      <c r="C157" s="19" t="s">
        <v>166</v>
      </c>
      <c r="D157" s="16" t="s">
        <v>167</v>
      </c>
      <c r="E157" s="19">
        <v>6</v>
      </c>
      <c r="F157" s="19">
        <v>0.66</v>
      </c>
      <c r="G157" s="17">
        <v>3.96</v>
      </c>
    </row>
    <row r="158" s="2" customFormat="1" ht="23" customHeight="1" spans="1:7">
      <c r="A158" s="13">
        <v>153</v>
      </c>
      <c r="B158" s="20" t="s">
        <v>170</v>
      </c>
      <c r="C158" s="19" t="s">
        <v>119</v>
      </c>
      <c r="D158" s="16" t="s">
        <v>120</v>
      </c>
      <c r="E158" s="19">
        <v>16</v>
      </c>
      <c r="F158" s="19">
        <v>0.85</v>
      </c>
      <c r="G158" s="17">
        <v>13.6</v>
      </c>
    </row>
    <row r="159" s="2" customFormat="1" ht="23" customHeight="1" spans="1:7">
      <c r="A159" s="13">
        <v>154</v>
      </c>
      <c r="B159" s="20" t="s">
        <v>170</v>
      </c>
      <c r="C159" s="19" t="s">
        <v>113</v>
      </c>
      <c r="D159" s="16" t="s">
        <v>114</v>
      </c>
      <c r="E159" s="19">
        <v>127</v>
      </c>
      <c r="F159" s="19">
        <v>0.73</v>
      </c>
      <c r="G159" s="17">
        <v>92.71</v>
      </c>
    </row>
    <row r="160" s="2" customFormat="1" ht="23" customHeight="1" spans="1:7">
      <c r="A160" s="13">
        <v>155</v>
      </c>
      <c r="B160" s="20" t="s">
        <v>170</v>
      </c>
      <c r="C160" s="19" t="s">
        <v>168</v>
      </c>
      <c r="D160" s="16" t="s">
        <v>169</v>
      </c>
      <c r="E160" s="19">
        <v>7</v>
      </c>
      <c r="F160" s="19">
        <v>0.77</v>
      </c>
      <c r="G160" s="17">
        <v>5.39</v>
      </c>
    </row>
    <row r="161" s="2" customFormat="1" ht="23" customHeight="1" spans="1:7">
      <c r="A161" s="13">
        <v>156</v>
      </c>
      <c r="B161" s="20" t="s">
        <v>192</v>
      </c>
      <c r="C161" s="19" t="s">
        <v>43</v>
      </c>
      <c r="D161" s="16" t="s">
        <v>44</v>
      </c>
      <c r="E161" s="19">
        <v>97</v>
      </c>
      <c r="F161" s="19">
        <v>0.8</v>
      </c>
      <c r="G161" s="17">
        <v>77.6</v>
      </c>
    </row>
    <row r="162" s="2" customFormat="1" ht="23" customHeight="1" spans="1:7">
      <c r="A162" s="13">
        <v>157</v>
      </c>
      <c r="B162" s="20" t="s">
        <v>192</v>
      </c>
      <c r="C162" s="19" t="s">
        <v>193</v>
      </c>
      <c r="D162" s="16" t="s">
        <v>20</v>
      </c>
      <c r="E162" s="19">
        <v>1</v>
      </c>
      <c r="F162" s="19">
        <v>2172.56</v>
      </c>
      <c r="G162" s="17">
        <v>2172.56</v>
      </c>
    </row>
    <row r="163" s="2" customFormat="1" ht="23" customHeight="1" spans="1:7">
      <c r="A163" s="13">
        <v>158</v>
      </c>
      <c r="B163" s="20" t="s">
        <v>192</v>
      </c>
      <c r="C163" s="19" t="s">
        <v>194</v>
      </c>
      <c r="D163" s="16" t="s">
        <v>22</v>
      </c>
      <c r="E163" s="19">
        <v>1</v>
      </c>
      <c r="F163" s="19">
        <v>73.53</v>
      </c>
      <c r="G163" s="17">
        <v>73.53</v>
      </c>
    </row>
    <row r="164" s="2" customFormat="1" ht="23" customHeight="1" spans="1:7">
      <c r="A164" s="13">
        <v>159</v>
      </c>
      <c r="B164" s="20" t="s">
        <v>192</v>
      </c>
      <c r="C164" s="19" t="s">
        <v>195</v>
      </c>
      <c r="D164" s="16" t="s">
        <v>196</v>
      </c>
      <c r="E164" s="19">
        <v>1</v>
      </c>
      <c r="F164" s="19">
        <v>73.98</v>
      </c>
      <c r="G164" s="17">
        <v>73.98</v>
      </c>
    </row>
    <row r="165" s="2" customFormat="1" ht="23" customHeight="1" spans="1:7">
      <c r="A165" s="13">
        <v>160</v>
      </c>
      <c r="B165" s="20" t="s">
        <v>192</v>
      </c>
      <c r="C165" s="19" t="s">
        <v>164</v>
      </c>
      <c r="D165" s="16" t="s">
        <v>165</v>
      </c>
      <c r="E165" s="19">
        <v>3</v>
      </c>
      <c r="F165" s="19">
        <v>80.45</v>
      </c>
      <c r="G165" s="17">
        <v>241.35</v>
      </c>
    </row>
    <row r="166" s="2" customFormat="1" ht="23" customHeight="1" spans="1:7">
      <c r="A166" s="13">
        <v>161</v>
      </c>
      <c r="B166" s="20" t="s">
        <v>197</v>
      </c>
      <c r="C166" s="19" t="s">
        <v>198</v>
      </c>
      <c r="D166" s="16" t="s">
        <v>199</v>
      </c>
      <c r="E166" s="19">
        <v>1</v>
      </c>
      <c r="F166" s="19">
        <v>111.82</v>
      </c>
      <c r="G166" s="17">
        <v>111.82</v>
      </c>
    </row>
    <row r="167" s="2" customFormat="1" ht="23" customHeight="1" spans="1:7">
      <c r="A167" s="13">
        <v>162</v>
      </c>
      <c r="B167" s="20" t="s">
        <v>197</v>
      </c>
      <c r="C167" s="19" t="s">
        <v>200</v>
      </c>
      <c r="D167" s="16" t="s">
        <v>37</v>
      </c>
      <c r="E167" s="19">
        <v>1</v>
      </c>
      <c r="F167" s="19">
        <v>10.39</v>
      </c>
      <c r="G167" s="17">
        <v>10.39</v>
      </c>
    </row>
    <row r="168" s="2" customFormat="1" ht="23" customHeight="1" spans="1:7">
      <c r="A168" s="13">
        <v>163</v>
      </c>
      <c r="B168" s="20" t="s">
        <v>197</v>
      </c>
      <c r="C168" s="19" t="s">
        <v>88</v>
      </c>
      <c r="D168" s="16" t="s">
        <v>89</v>
      </c>
      <c r="E168" s="19">
        <v>58</v>
      </c>
      <c r="F168" s="19">
        <v>0.85</v>
      </c>
      <c r="G168" s="17">
        <v>49.3</v>
      </c>
    </row>
    <row r="169" s="2" customFormat="1" ht="23" customHeight="1" spans="1:7">
      <c r="A169" s="13">
        <v>164</v>
      </c>
      <c r="B169" s="20" t="s">
        <v>197</v>
      </c>
      <c r="C169" s="19" t="s">
        <v>201</v>
      </c>
      <c r="D169" s="16" t="s">
        <v>202</v>
      </c>
      <c r="E169" s="19">
        <v>1</v>
      </c>
      <c r="F169" s="19">
        <v>847.88</v>
      </c>
      <c r="G169" s="17">
        <v>847.88</v>
      </c>
    </row>
    <row r="170" s="2" customFormat="1" ht="23" customHeight="1" spans="1:7">
      <c r="A170" s="13">
        <v>165</v>
      </c>
      <c r="B170" s="20" t="s">
        <v>197</v>
      </c>
      <c r="C170" s="19" t="s">
        <v>92</v>
      </c>
      <c r="D170" s="16" t="s">
        <v>22</v>
      </c>
      <c r="E170" s="19">
        <v>1</v>
      </c>
      <c r="F170" s="19">
        <v>56.92</v>
      </c>
      <c r="G170" s="17">
        <v>56.92</v>
      </c>
    </row>
    <row r="171" s="2" customFormat="1" ht="23" customHeight="1" spans="1:7">
      <c r="A171" s="13">
        <v>166</v>
      </c>
      <c r="B171" s="20" t="s">
        <v>197</v>
      </c>
      <c r="C171" s="19" t="s">
        <v>203</v>
      </c>
      <c r="D171" s="16" t="s">
        <v>37</v>
      </c>
      <c r="E171" s="19">
        <v>1</v>
      </c>
      <c r="F171" s="19">
        <v>10.34</v>
      </c>
      <c r="G171" s="17">
        <v>10.34</v>
      </c>
    </row>
    <row r="172" s="2" customFormat="1" ht="23" customHeight="1" spans="1:7">
      <c r="A172" s="13">
        <v>167</v>
      </c>
      <c r="B172" s="20" t="s">
        <v>197</v>
      </c>
      <c r="C172" s="19" t="s">
        <v>93</v>
      </c>
      <c r="D172" s="16" t="s">
        <v>52</v>
      </c>
      <c r="E172" s="19">
        <v>2</v>
      </c>
      <c r="F172" s="19">
        <v>31.67</v>
      </c>
      <c r="G172" s="17">
        <v>63.34</v>
      </c>
    </row>
    <row r="173" s="2" customFormat="1" ht="23" customHeight="1" spans="1:7">
      <c r="A173" s="13">
        <v>168</v>
      </c>
      <c r="B173" s="20" t="s">
        <v>197</v>
      </c>
      <c r="C173" s="19" t="s">
        <v>204</v>
      </c>
      <c r="D173" s="16" t="s">
        <v>205</v>
      </c>
      <c r="E173" s="19">
        <v>1</v>
      </c>
      <c r="F173" s="19">
        <v>2405.85</v>
      </c>
      <c r="G173" s="17">
        <v>2405.85</v>
      </c>
    </row>
    <row r="174" s="2" customFormat="1" ht="23" customHeight="1" spans="1:7">
      <c r="A174" s="13">
        <v>169</v>
      </c>
      <c r="B174" s="20" t="s">
        <v>197</v>
      </c>
      <c r="C174" s="19" t="s">
        <v>206</v>
      </c>
      <c r="D174" s="16" t="s">
        <v>207</v>
      </c>
      <c r="E174" s="19">
        <v>1</v>
      </c>
      <c r="F174" s="19">
        <v>1199.99</v>
      </c>
      <c r="G174" s="17">
        <v>1199.99</v>
      </c>
    </row>
    <row r="175" s="2" customFormat="1" ht="23" customHeight="1" spans="1:7">
      <c r="A175" s="13">
        <v>170</v>
      </c>
      <c r="B175" s="20" t="s">
        <v>197</v>
      </c>
      <c r="C175" s="19" t="s">
        <v>208</v>
      </c>
      <c r="D175" s="16" t="s">
        <v>99</v>
      </c>
      <c r="E175" s="19">
        <v>1</v>
      </c>
      <c r="F175" s="19">
        <v>2707.32</v>
      </c>
      <c r="G175" s="17">
        <v>2707.32</v>
      </c>
    </row>
    <row r="176" s="2" customFormat="1" ht="23" customHeight="1" spans="1:7">
      <c r="A176" s="13">
        <v>171</v>
      </c>
      <c r="B176" s="20" t="s">
        <v>197</v>
      </c>
      <c r="C176" s="19" t="s">
        <v>209</v>
      </c>
      <c r="D176" s="16" t="s">
        <v>210</v>
      </c>
      <c r="E176" s="19">
        <v>44</v>
      </c>
      <c r="F176" s="19">
        <v>0.8</v>
      </c>
      <c r="G176" s="17">
        <v>35.2</v>
      </c>
    </row>
    <row r="177" s="2" customFormat="1" ht="23" customHeight="1" spans="1:7">
      <c r="A177" s="13">
        <v>172</v>
      </c>
      <c r="B177" s="20" t="s">
        <v>197</v>
      </c>
      <c r="C177" s="19" t="s">
        <v>94</v>
      </c>
      <c r="D177" s="16" t="s">
        <v>95</v>
      </c>
      <c r="E177" s="19">
        <v>12</v>
      </c>
      <c r="F177" s="19">
        <v>30.88</v>
      </c>
      <c r="G177" s="17">
        <v>370.56</v>
      </c>
    </row>
    <row r="178" s="2" customFormat="1" ht="23" customHeight="1" spans="1:7">
      <c r="A178" s="13">
        <v>173</v>
      </c>
      <c r="B178" s="20" t="s">
        <v>197</v>
      </c>
      <c r="C178" s="19" t="s">
        <v>96</v>
      </c>
      <c r="D178" s="16" t="s">
        <v>97</v>
      </c>
      <c r="E178" s="19">
        <v>9</v>
      </c>
      <c r="F178" s="19">
        <v>22.95</v>
      </c>
      <c r="G178" s="17">
        <v>206.55</v>
      </c>
    </row>
    <row r="179" s="2" customFormat="1" ht="23" customHeight="1" spans="1:7">
      <c r="A179" s="13">
        <v>174</v>
      </c>
      <c r="B179" s="20" t="s">
        <v>197</v>
      </c>
      <c r="C179" s="19" t="s">
        <v>88</v>
      </c>
      <c r="D179" s="16" t="s">
        <v>89</v>
      </c>
      <c r="E179" s="19">
        <v>52</v>
      </c>
      <c r="F179" s="19">
        <v>0.85</v>
      </c>
      <c r="G179" s="17">
        <v>44.2</v>
      </c>
    </row>
    <row r="180" s="2" customFormat="1" ht="23" customHeight="1" spans="1:7">
      <c r="A180" s="13">
        <v>175</v>
      </c>
      <c r="B180" s="20" t="s">
        <v>197</v>
      </c>
      <c r="C180" s="19" t="s">
        <v>203</v>
      </c>
      <c r="D180" s="16" t="s">
        <v>37</v>
      </c>
      <c r="E180" s="19">
        <v>1</v>
      </c>
      <c r="F180" s="19">
        <v>10.34</v>
      </c>
      <c r="G180" s="17">
        <v>10.34</v>
      </c>
    </row>
    <row r="181" s="2" customFormat="1" ht="23" customHeight="1" spans="1:7">
      <c r="A181" s="13">
        <v>176</v>
      </c>
      <c r="B181" s="20" t="s">
        <v>197</v>
      </c>
      <c r="C181" s="19" t="s">
        <v>211</v>
      </c>
      <c r="D181" s="16" t="s">
        <v>212</v>
      </c>
      <c r="E181" s="19">
        <v>3</v>
      </c>
      <c r="F181" s="19">
        <v>188.52</v>
      </c>
      <c r="G181" s="17">
        <v>565.56</v>
      </c>
    </row>
    <row r="182" s="2" customFormat="1" ht="23" customHeight="1" spans="1:7">
      <c r="A182" s="13">
        <v>177</v>
      </c>
      <c r="B182" s="20" t="s">
        <v>197</v>
      </c>
      <c r="C182" s="19" t="s">
        <v>213</v>
      </c>
      <c r="D182" s="16" t="s">
        <v>214</v>
      </c>
      <c r="E182" s="19">
        <v>1</v>
      </c>
      <c r="F182" s="19">
        <v>426.13</v>
      </c>
      <c r="G182" s="17">
        <v>426.13</v>
      </c>
    </row>
    <row r="183" s="2" customFormat="1" ht="23" customHeight="1" spans="1:7">
      <c r="A183" s="13">
        <v>178</v>
      </c>
      <c r="B183" s="20" t="s">
        <v>197</v>
      </c>
      <c r="C183" s="19" t="s">
        <v>215</v>
      </c>
      <c r="D183" s="16" t="s">
        <v>216</v>
      </c>
      <c r="E183" s="19">
        <v>1</v>
      </c>
      <c r="F183" s="19">
        <v>155.77</v>
      </c>
      <c r="G183" s="17">
        <v>155.77</v>
      </c>
    </row>
    <row r="184" s="2" customFormat="1" ht="23" customHeight="1" spans="1:7">
      <c r="A184" s="13">
        <v>179</v>
      </c>
      <c r="B184" s="20" t="s">
        <v>197</v>
      </c>
      <c r="C184" s="19" t="s">
        <v>217</v>
      </c>
      <c r="D184" s="16" t="s">
        <v>218</v>
      </c>
      <c r="E184" s="19">
        <v>1</v>
      </c>
      <c r="F184" s="19">
        <v>36.65</v>
      </c>
      <c r="G184" s="17">
        <v>36.65</v>
      </c>
    </row>
    <row r="185" s="2" customFormat="1" ht="23" customHeight="1" spans="1:7">
      <c r="A185" s="13">
        <v>180</v>
      </c>
      <c r="B185" s="20" t="s">
        <v>197</v>
      </c>
      <c r="C185" s="19" t="s">
        <v>92</v>
      </c>
      <c r="D185" s="16" t="s">
        <v>22</v>
      </c>
      <c r="E185" s="19">
        <v>1</v>
      </c>
      <c r="F185" s="19">
        <v>56.92</v>
      </c>
      <c r="G185" s="17">
        <v>56.92</v>
      </c>
    </row>
    <row r="186" s="2" customFormat="1" ht="23" customHeight="1" spans="1:7">
      <c r="A186" s="13">
        <v>181</v>
      </c>
      <c r="B186" s="20" t="s">
        <v>197</v>
      </c>
      <c r="C186" s="19" t="s">
        <v>94</v>
      </c>
      <c r="D186" s="16" t="s">
        <v>95</v>
      </c>
      <c r="E186" s="19">
        <v>12</v>
      </c>
      <c r="F186" s="19">
        <v>30.88</v>
      </c>
      <c r="G186" s="17">
        <v>370.56</v>
      </c>
    </row>
    <row r="187" s="2" customFormat="1" ht="23" customHeight="1" spans="1:7">
      <c r="A187" s="13">
        <v>182</v>
      </c>
      <c r="B187" s="20" t="s">
        <v>197</v>
      </c>
      <c r="C187" s="19" t="s">
        <v>96</v>
      </c>
      <c r="D187" s="16" t="s">
        <v>97</v>
      </c>
      <c r="E187" s="19">
        <v>9</v>
      </c>
      <c r="F187" s="19">
        <v>22.95</v>
      </c>
      <c r="G187" s="17">
        <v>206.55</v>
      </c>
    </row>
    <row r="188" s="2" customFormat="1" ht="23" customHeight="1" spans="1:7">
      <c r="A188" s="13">
        <v>183</v>
      </c>
      <c r="B188" s="20" t="s">
        <v>197</v>
      </c>
      <c r="C188" s="19" t="s">
        <v>201</v>
      </c>
      <c r="D188" s="16" t="s">
        <v>202</v>
      </c>
      <c r="E188" s="19">
        <v>1</v>
      </c>
      <c r="F188" s="19">
        <v>847.88</v>
      </c>
      <c r="G188" s="17">
        <v>847.88</v>
      </c>
    </row>
    <row r="189" s="2" customFormat="1" ht="23" customHeight="1" spans="1:7">
      <c r="A189" s="13">
        <v>184</v>
      </c>
      <c r="B189" s="20" t="s">
        <v>197</v>
      </c>
      <c r="C189" s="19" t="s">
        <v>219</v>
      </c>
      <c r="D189" s="16" t="s">
        <v>35</v>
      </c>
      <c r="E189" s="19">
        <v>1</v>
      </c>
      <c r="F189" s="19">
        <v>541.92</v>
      </c>
      <c r="G189" s="17">
        <v>541.92</v>
      </c>
    </row>
    <row r="190" s="2" customFormat="1" ht="23" customHeight="1" spans="1:7">
      <c r="A190" s="21">
        <v>50</v>
      </c>
      <c r="B190" s="22"/>
      <c r="C190" s="23" t="s">
        <v>220</v>
      </c>
      <c r="D190" s="16" t="e">
        <v>#N/A</v>
      </c>
      <c r="E190" s="22"/>
      <c r="F190" s="22"/>
      <c r="G190" s="22">
        <f>SUM(G6:G189)</f>
        <v>109501.2</v>
      </c>
    </row>
    <row r="191" s="2" customFormat="1" ht="138" customHeight="1" spans="1:7">
      <c r="A191" s="24" t="s">
        <v>221</v>
      </c>
      <c r="B191" s="25"/>
      <c r="C191" s="26"/>
      <c r="D191" s="16"/>
      <c r="E191" s="27"/>
      <c r="F191" s="28"/>
      <c r="G191" s="28"/>
    </row>
  </sheetData>
  <autoFilter xmlns:etc="http://www.wps.cn/officeDocument/2017/etCustomData" ref="A5:G191" etc:filterBottomFollowUsedRange="0">
    <extLst/>
  </autoFilter>
  <mergeCells count="7">
    <mergeCell ref="A1:G1"/>
    <mergeCell ref="A2:E2"/>
    <mergeCell ref="F2:G2"/>
    <mergeCell ref="A3:E3"/>
    <mergeCell ref="F3:G3"/>
    <mergeCell ref="A4:E4"/>
    <mergeCell ref="F4:G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0"/>
  <sheetViews>
    <sheetView workbookViewId="0">
      <selection activeCell="A1" sqref="A1:B486"/>
    </sheetView>
  </sheetViews>
  <sheetFormatPr defaultColWidth="9" defaultRowHeight="13.5" outlineLevelCol="1"/>
  <sheetData>
    <row r="1" spans="1:2">
      <c r="A1" t="s">
        <v>222</v>
      </c>
      <c r="B1" t="s">
        <v>223</v>
      </c>
    </row>
    <row r="2" spans="1:2">
      <c r="A2" t="s">
        <v>43</v>
      </c>
      <c r="B2" t="s">
        <v>44</v>
      </c>
    </row>
    <row r="3" spans="1:2">
      <c r="A3" t="s">
        <v>193</v>
      </c>
      <c r="B3" t="s">
        <v>20</v>
      </c>
    </row>
    <row r="4" spans="1:2">
      <c r="A4" t="s">
        <v>194</v>
      </c>
      <c r="B4" t="s">
        <v>22</v>
      </c>
    </row>
    <row r="5" spans="1:2">
      <c r="A5" t="s">
        <v>195</v>
      </c>
      <c r="B5" t="s">
        <v>196</v>
      </c>
    </row>
    <row r="6" spans="1:2">
      <c r="A6" t="s">
        <v>164</v>
      </c>
      <c r="B6" t="s">
        <v>165</v>
      </c>
    </row>
    <row r="7" spans="1:2">
      <c r="A7" t="s">
        <v>15</v>
      </c>
      <c r="B7" t="s">
        <v>16</v>
      </c>
    </row>
    <row r="8" spans="1:2">
      <c r="A8" t="s">
        <v>17</v>
      </c>
      <c r="B8" t="s">
        <v>18</v>
      </c>
    </row>
    <row r="9" spans="1:2">
      <c r="A9" t="s">
        <v>190</v>
      </c>
      <c r="B9" t="s">
        <v>191</v>
      </c>
    </row>
    <row r="10" spans="1:2">
      <c r="A10" t="s">
        <v>179</v>
      </c>
      <c r="B10" t="s">
        <v>180</v>
      </c>
    </row>
    <row r="11" spans="1:2">
      <c r="A11" t="s">
        <v>51</v>
      </c>
      <c r="B11" t="s">
        <v>52</v>
      </c>
    </row>
    <row r="12" spans="1:2">
      <c r="A12" t="s">
        <v>15</v>
      </c>
      <c r="B12" t="s">
        <v>224</v>
      </c>
    </row>
    <row r="13" spans="1:2">
      <c r="A13" t="s">
        <v>17</v>
      </c>
      <c r="B13" t="s">
        <v>225</v>
      </c>
    </row>
    <row r="14" spans="1:2">
      <c r="A14" t="s">
        <v>226</v>
      </c>
      <c r="B14" t="s">
        <v>173</v>
      </c>
    </row>
    <row r="15" spans="1:2">
      <c r="A15" t="s">
        <v>227</v>
      </c>
      <c r="B15" t="s">
        <v>22</v>
      </c>
    </row>
    <row r="16" spans="1:2">
      <c r="A16" t="s">
        <v>51</v>
      </c>
      <c r="B16" t="s">
        <v>52</v>
      </c>
    </row>
    <row r="17" spans="1:2">
      <c r="A17" t="s">
        <v>15</v>
      </c>
      <c r="B17" t="s">
        <v>16</v>
      </c>
    </row>
    <row r="18" spans="1:2">
      <c r="A18" t="s">
        <v>17</v>
      </c>
      <c r="B18" t="s">
        <v>18</v>
      </c>
    </row>
    <row r="19" spans="1:2">
      <c r="A19" t="s">
        <v>190</v>
      </c>
      <c r="B19" t="s">
        <v>191</v>
      </c>
    </row>
    <row r="20" spans="1:2">
      <c r="A20" t="s">
        <v>179</v>
      </c>
      <c r="B20" t="s">
        <v>180</v>
      </c>
    </row>
    <row r="21" spans="1:2">
      <c r="A21" t="s">
        <v>51</v>
      </c>
      <c r="B21" t="s">
        <v>52</v>
      </c>
    </row>
    <row r="22" spans="1:2">
      <c r="A22" t="s">
        <v>113</v>
      </c>
      <c r="B22" t="s">
        <v>114</v>
      </c>
    </row>
    <row r="23" spans="1:2">
      <c r="A23" t="s">
        <v>228</v>
      </c>
      <c r="B23" t="s">
        <v>58</v>
      </c>
    </row>
    <row r="24" spans="1:2">
      <c r="A24" t="s">
        <v>229</v>
      </c>
      <c r="B24" t="s">
        <v>230</v>
      </c>
    </row>
    <row r="25" spans="1:2">
      <c r="A25" t="s">
        <v>231</v>
      </c>
      <c r="B25" t="s">
        <v>37</v>
      </c>
    </row>
    <row r="26" spans="1:2">
      <c r="A26" t="s">
        <v>43</v>
      </c>
      <c r="B26" t="s">
        <v>44</v>
      </c>
    </row>
    <row r="27" spans="1:2">
      <c r="A27" t="s">
        <v>55</v>
      </c>
      <c r="B27" t="s">
        <v>56</v>
      </c>
    </row>
    <row r="28" spans="1:2">
      <c r="A28" t="s">
        <v>57</v>
      </c>
      <c r="B28" t="s">
        <v>58</v>
      </c>
    </row>
    <row r="29" spans="1:2">
      <c r="A29" t="s">
        <v>59</v>
      </c>
      <c r="B29" t="s">
        <v>22</v>
      </c>
    </row>
    <row r="30" spans="1:2">
      <c r="A30" t="s">
        <v>83</v>
      </c>
      <c r="B30" t="s">
        <v>84</v>
      </c>
    </row>
    <row r="31" spans="1:2">
      <c r="A31" t="s">
        <v>61</v>
      </c>
      <c r="B31" t="s">
        <v>37</v>
      </c>
    </row>
    <row r="32" spans="1:2">
      <c r="A32" t="s">
        <v>232</v>
      </c>
      <c r="B32" t="s">
        <v>46</v>
      </c>
    </row>
    <row r="33" spans="1:2">
      <c r="A33" t="s">
        <v>233</v>
      </c>
      <c r="B33" t="s">
        <v>234</v>
      </c>
    </row>
    <row r="34" spans="1:2">
      <c r="A34" t="s">
        <v>15</v>
      </c>
      <c r="B34" t="s">
        <v>224</v>
      </c>
    </row>
    <row r="35" spans="1:2">
      <c r="A35" t="s">
        <v>17</v>
      </c>
      <c r="B35" t="s">
        <v>225</v>
      </c>
    </row>
    <row r="36" spans="1:2">
      <c r="A36" t="s">
        <v>172</v>
      </c>
      <c r="B36" t="s">
        <v>173</v>
      </c>
    </row>
    <row r="37" spans="1:2">
      <c r="A37" t="s">
        <v>174</v>
      </c>
      <c r="B37" t="s">
        <v>22</v>
      </c>
    </row>
    <row r="38" spans="1:2">
      <c r="A38" t="s">
        <v>51</v>
      </c>
      <c r="B38" t="s">
        <v>52</v>
      </c>
    </row>
    <row r="39" spans="1:2">
      <c r="A39" t="s">
        <v>124</v>
      </c>
      <c r="B39" t="s">
        <v>125</v>
      </c>
    </row>
    <row r="40" spans="1:2">
      <c r="A40" t="s">
        <v>126</v>
      </c>
      <c r="B40" t="s">
        <v>127</v>
      </c>
    </row>
    <row r="41" spans="1:2">
      <c r="A41" t="s">
        <v>71</v>
      </c>
      <c r="B41" t="s">
        <v>72</v>
      </c>
    </row>
    <row r="42" spans="1:2">
      <c r="A42" t="s">
        <v>128</v>
      </c>
      <c r="B42" t="s">
        <v>129</v>
      </c>
    </row>
    <row r="43" spans="1:2">
      <c r="A43" t="s">
        <v>235</v>
      </c>
      <c r="B43" t="s">
        <v>236</v>
      </c>
    </row>
    <row r="44" spans="1:2">
      <c r="A44" t="s">
        <v>71</v>
      </c>
      <c r="B44" t="s">
        <v>72</v>
      </c>
    </row>
    <row r="45" spans="1:2">
      <c r="A45" t="s">
        <v>237</v>
      </c>
      <c r="B45" t="s">
        <v>238</v>
      </c>
    </row>
    <row r="46" spans="1:2">
      <c r="A46" t="s">
        <v>235</v>
      </c>
      <c r="B46" t="s">
        <v>236</v>
      </c>
    </row>
    <row r="47" spans="1:2">
      <c r="A47" t="s">
        <v>124</v>
      </c>
      <c r="B47" t="s">
        <v>125</v>
      </c>
    </row>
    <row r="48" spans="1:2">
      <c r="A48" t="s">
        <v>128</v>
      </c>
      <c r="B48" t="s">
        <v>129</v>
      </c>
    </row>
    <row r="49" spans="1:2">
      <c r="A49" t="s">
        <v>237</v>
      </c>
      <c r="B49" t="s">
        <v>238</v>
      </c>
    </row>
    <row r="50" spans="1:2">
      <c r="A50" t="s">
        <v>126</v>
      </c>
      <c r="B50" t="s">
        <v>127</v>
      </c>
    </row>
    <row r="51" spans="1:2">
      <c r="A51" t="s">
        <v>206</v>
      </c>
      <c r="B51" t="s">
        <v>207</v>
      </c>
    </row>
    <row r="52" spans="1:2">
      <c r="A52" t="s">
        <v>85</v>
      </c>
      <c r="B52" t="s">
        <v>86</v>
      </c>
    </row>
    <row r="53" spans="1:2">
      <c r="A53" t="s">
        <v>53</v>
      </c>
      <c r="B53" t="s">
        <v>54</v>
      </c>
    </row>
    <row r="54" spans="1:2">
      <c r="A54" t="s">
        <v>51</v>
      </c>
      <c r="B54" t="s">
        <v>52</v>
      </c>
    </row>
    <row r="55" spans="1:2">
      <c r="A55" t="s">
        <v>15</v>
      </c>
      <c r="B55" t="s">
        <v>16</v>
      </c>
    </row>
    <row r="56" spans="1:2">
      <c r="A56" t="s">
        <v>17</v>
      </c>
      <c r="B56" t="s">
        <v>18</v>
      </c>
    </row>
    <row r="57" spans="1:2">
      <c r="A57" t="s">
        <v>239</v>
      </c>
      <c r="B57" t="s">
        <v>240</v>
      </c>
    </row>
    <row r="58" spans="1:2">
      <c r="A58" t="s">
        <v>168</v>
      </c>
      <c r="B58" t="s">
        <v>169</v>
      </c>
    </row>
    <row r="59" spans="1:2">
      <c r="A59" t="s">
        <v>241</v>
      </c>
      <c r="B59" t="s">
        <v>242</v>
      </c>
    </row>
    <row r="60" spans="1:2">
      <c r="A60" t="s">
        <v>243</v>
      </c>
      <c r="B60" t="s">
        <v>244</v>
      </c>
    </row>
    <row r="61" spans="1:2">
      <c r="A61" t="s">
        <v>245</v>
      </c>
      <c r="B61" t="s">
        <v>246</v>
      </c>
    </row>
    <row r="62" spans="1:2">
      <c r="A62" t="s">
        <v>43</v>
      </c>
      <c r="B62" t="s">
        <v>44</v>
      </c>
    </row>
    <row r="63" spans="1:2">
      <c r="A63" t="s">
        <v>247</v>
      </c>
      <c r="B63" t="s">
        <v>20</v>
      </c>
    </row>
    <row r="64" spans="1:2">
      <c r="A64" t="s">
        <v>248</v>
      </c>
      <c r="B64" t="s">
        <v>249</v>
      </c>
    </row>
    <row r="65" spans="1:2">
      <c r="A65" t="s">
        <v>250</v>
      </c>
      <c r="B65" t="s">
        <v>251</v>
      </c>
    </row>
    <row r="66" spans="1:2">
      <c r="A66" t="s">
        <v>206</v>
      </c>
      <c r="B66" t="s">
        <v>207</v>
      </c>
    </row>
    <row r="67" spans="1:2">
      <c r="A67" t="s">
        <v>252</v>
      </c>
      <c r="B67" t="s">
        <v>253</v>
      </c>
    </row>
    <row r="68" spans="1:2">
      <c r="A68" t="s">
        <v>254</v>
      </c>
      <c r="B68" t="s">
        <v>255</v>
      </c>
    </row>
    <row r="69" spans="1:2">
      <c r="A69" t="s">
        <v>256</v>
      </c>
      <c r="B69" t="s">
        <v>257</v>
      </c>
    </row>
    <row r="70" spans="1:2">
      <c r="A70" t="s">
        <v>94</v>
      </c>
      <c r="B70" t="s">
        <v>95</v>
      </c>
    </row>
    <row r="71" spans="1:2">
      <c r="A71" t="s">
        <v>93</v>
      </c>
      <c r="B71" t="s">
        <v>52</v>
      </c>
    </row>
    <row r="72" spans="1:2">
      <c r="A72" t="s">
        <v>200</v>
      </c>
      <c r="B72" t="s">
        <v>37</v>
      </c>
    </row>
    <row r="73" spans="1:2">
      <c r="A73" t="s">
        <v>258</v>
      </c>
      <c r="B73" t="s">
        <v>259</v>
      </c>
    </row>
    <row r="74" spans="1:2">
      <c r="A74" t="s">
        <v>209</v>
      </c>
      <c r="B74" t="s">
        <v>210</v>
      </c>
    </row>
    <row r="75" spans="1:2">
      <c r="A75" t="s">
        <v>198</v>
      </c>
      <c r="B75" t="s">
        <v>199</v>
      </c>
    </row>
    <row r="76" spans="1:2">
      <c r="A76" t="s">
        <v>260</v>
      </c>
      <c r="B76" t="s">
        <v>72</v>
      </c>
    </row>
    <row r="77" spans="1:2">
      <c r="A77" t="s">
        <v>261</v>
      </c>
      <c r="B77" t="s">
        <v>262</v>
      </c>
    </row>
    <row r="78" spans="1:2">
      <c r="A78" t="s">
        <v>263</v>
      </c>
      <c r="B78" t="s">
        <v>264</v>
      </c>
    </row>
    <row r="79" spans="1:2">
      <c r="A79" t="s">
        <v>265</v>
      </c>
      <c r="B79" t="s">
        <v>266</v>
      </c>
    </row>
    <row r="80" spans="1:2">
      <c r="A80" t="s">
        <v>267</v>
      </c>
      <c r="B80" t="s">
        <v>268</v>
      </c>
    </row>
    <row r="81" spans="1:2">
      <c r="A81" t="s">
        <v>269</v>
      </c>
      <c r="B81" t="s">
        <v>72</v>
      </c>
    </row>
    <row r="82" spans="1:2">
      <c r="A82" t="s">
        <v>270</v>
      </c>
      <c r="B82" t="s">
        <v>271</v>
      </c>
    </row>
    <row r="83" spans="1:2">
      <c r="A83" t="s">
        <v>272</v>
      </c>
      <c r="B83" t="s">
        <v>273</v>
      </c>
    </row>
    <row r="84" spans="1:2">
      <c r="A84" t="s">
        <v>274</v>
      </c>
      <c r="B84" t="s">
        <v>275</v>
      </c>
    </row>
    <row r="85" spans="1:2">
      <c r="A85" t="s">
        <v>113</v>
      </c>
      <c r="B85" t="s">
        <v>114</v>
      </c>
    </row>
    <row r="86" spans="1:2">
      <c r="A86" t="s">
        <v>276</v>
      </c>
      <c r="B86" t="s">
        <v>144</v>
      </c>
    </row>
    <row r="87" spans="1:2">
      <c r="A87" t="s">
        <v>239</v>
      </c>
      <c r="B87" t="s">
        <v>240</v>
      </c>
    </row>
    <row r="88" spans="1:2">
      <c r="A88" t="s">
        <v>277</v>
      </c>
      <c r="B88" t="s">
        <v>278</v>
      </c>
    </row>
    <row r="89" spans="1:2">
      <c r="A89" t="s">
        <v>279</v>
      </c>
      <c r="B89" t="s">
        <v>280</v>
      </c>
    </row>
    <row r="90" spans="1:2">
      <c r="A90" t="s">
        <v>281</v>
      </c>
      <c r="B90" t="s">
        <v>37</v>
      </c>
    </row>
    <row r="91" spans="1:2">
      <c r="A91" t="s">
        <v>15</v>
      </c>
      <c r="B91" t="s">
        <v>224</v>
      </c>
    </row>
    <row r="92" spans="1:2">
      <c r="A92" t="s">
        <v>17</v>
      </c>
      <c r="B92" t="s">
        <v>225</v>
      </c>
    </row>
    <row r="93" spans="1:2">
      <c r="A93" t="s">
        <v>282</v>
      </c>
      <c r="B93" t="s">
        <v>74</v>
      </c>
    </row>
    <row r="94" spans="1:2">
      <c r="A94" t="s">
        <v>283</v>
      </c>
      <c r="B94" t="s">
        <v>22</v>
      </c>
    </row>
    <row r="95" spans="1:2">
      <c r="A95" t="s">
        <v>71</v>
      </c>
      <c r="B95" t="s">
        <v>72</v>
      </c>
    </row>
    <row r="96" spans="1:2">
      <c r="A96" t="s">
        <v>112</v>
      </c>
      <c r="B96" t="s">
        <v>72</v>
      </c>
    </row>
    <row r="97" spans="1:2">
      <c r="A97" t="s">
        <v>51</v>
      </c>
      <c r="B97" t="s">
        <v>52</v>
      </c>
    </row>
    <row r="98" spans="1:2">
      <c r="A98" t="s">
        <v>15</v>
      </c>
      <c r="B98" t="s">
        <v>224</v>
      </c>
    </row>
    <row r="99" spans="1:2">
      <c r="A99" t="s">
        <v>17</v>
      </c>
      <c r="B99" t="s">
        <v>225</v>
      </c>
    </row>
    <row r="100" spans="1:2">
      <c r="A100" t="s">
        <v>284</v>
      </c>
      <c r="B100" t="s">
        <v>32</v>
      </c>
    </row>
    <row r="101" spans="1:2">
      <c r="A101" t="s">
        <v>285</v>
      </c>
      <c r="B101" t="s">
        <v>54</v>
      </c>
    </row>
    <row r="102" spans="1:2">
      <c r="A102" t="s">
        <v>51</v>
      </c>
      <c r="B102" t="s">
        <v>52</v>
      </c>
    </row>
    <row r="103" spans="1:2">
      <c r="A103" t="s">
        <v>286</v>
      </c>
      <c r="B103" t="s">
        <v>46</v>
      </c>
    </row>
    <row r="104" spans="1:2">
      <c r="A104" t="s">
        <v>232</v>
      </c>
      <c r="B104" t="s">
        <v>46</v>
      </c>
    </row>
    <row r="105" spans="1:2">
      <c r="A105" t="s">
        <v>287</v>
      </c>
      <c r="B105" t="s">
        <v>288</v>
      </c>
    </row>
    <row r="106" spans="1:2">
      <c r="A106" t="s">
        <v>289</v>
      </c>
      <c r="B106" t="s">
        <v>290</v>
      </c>
    </row>
    <row r="107" spans="1:2">
      <c r="A107" t="s">
        <v>291</v>
      </c>
      <c r="B107" t="s">
        <v>288</v>
      </c>
    </row>
    <row r="108" spans="1:2">
      <c r="A108" t="s">
        <v>292</v>
      </c>
      <c r="B108" t="s">
        <v>288</v>
      </c>
    </row>
    <row r="109" spans="1:2">
      <c r="A109" t="s">
        <v>293</v>
      </c>
      <c r="B109" t="s">
        <v>288</v>
      </c>
    </row>
    <row r="110" spans="1:2">
      <c r="A110" t="s">
        <v>294</v>
      </c>
      <c r="B110" t="s">
        <v>288</v>
      </c>
    </row>
    <row r="111" spans="1:2">
      <c r="A111" t="s">
        <v>23</v>
      </c>
      <c r="B111" t="s">
        <v>24</v>
      </c>
    </row>
    <row r="112" spans="1:2">
      <c r="A112" t="s">
        <v>295</v>
      </c>
      <c r="B112" t="s">
        <v>20</v>
      </c>
    </row>
    <row r="113" spans="1:2">
      <c r="A113" t="s">
        <v>296</v>
      </c>
      <c r="B113" t="s">
        <v>22</v>
      </c>
    </row>
    <row r="114" spans="1:2">
      <c r="A114" t="s">
        <v>297</v>
      </c>
      <c r="B114" t="s">
        <v>37</v>
      </c>
    </row>
    <row r="115" spans="1:2">
      <c r="A115" t="s">
        <v>15</v>
      </c>
      <c r="B115" t="s">
        <v>224</v>
      </c>
    </row>
    <row r="116" spans="1:2">
      <c r="A116" t="s">
        <v>17</v>
      </c>
      <c r="B116" t="s">
        <v>225</v>
      </c>
    </row>
    <row r="117" spans="1:2">
      <c r="A117" t="s">
        <v>298</v>
      </c>
      <c r="B117" t="s">
        <v>240</v>
      </c>
    </row>
    <row r="118" spans="1:2">
      <c r="A118" t="s">
        <v>31</v>
      </c>
      <c r="B118" t="s">
        <v>32</v>
      </c>
    </row>
    <row r="119" spans="1:2">
      <c r="A119" t="s">
        <v>78</v>
      </c>
      <c r="B119" t="s">
        <v>79</v>
      </c>
    </row>
    <row r="120" spans="1:2">
      <c r="A120" t="s">
        <v>33</v>
      </c>
      <c r="B120" t="s">
        <v>22</v>
      </c>
    </row>
    <row r="121" spans="1:2">
      <c r="A121" t="s">
        <v>15</v>
      </c>
      <c r="B121" t="s">
        <v>224</v>
      </c>
    </row>
    <row r="122" spans="1:2">
      <c r="A122" t="s">
        <v>17</v>
      </c>
      <c r="B122" t="s">
        <v>225</v>
      </c>
    </row>
    <row r="123" spans="1:2">
      <c r="A123" t="s">
        <v>298</v>
      </c>
      <c r="B123" t="s">
        <v>240</v>
      </c>
    </row>
    <row r="124" spans="1:2">
      <c r="A124" t="s">
        <v>31</v>
      </c>
      <c r="B124" t="s">
        <v>32</v>
      </c>
    </row>
    <row r="125" spans="1:2">
      <c r="A125" t="s">
        <v>78</v>
      </c>
      <c r="B125" t="s">
        <v>79</v>
      </c>
    </row>
    <row r="126" spans="1:2">
      <c r="A126" t="s">
        <v>33</v>
      </c>
      <c r="B126" t="s">
        <v>22</v>
      </c>
    </row>
    <row r="127" spans="1:2">
      <c r="A127" t="s">
        <v>209</v>
      </c>
      <c r="B127" t="s">
        <v>210</v>
      </c>
    </row>
    <row r="128" spans="1:2">
      <c r="A128" t="s">
        <v>235</v>
      </c>
      <c r="B128" t="s">
        <v>236</v>
      </c>
    </row>
    <row r="129" spans="1:2">
      <c r="A129" t="s">
        <v>206</v>
      </c>
      <c r="B129" t="s">
        <v>299</v>
      </c>
    </row>
    <row r="130" spans="1:2">
      <c r="A130" t="s">
        <v>198</v>
      </c>
      <c r="B130" t="s">
        <v>199</v>
      </c>
    </row>
    <row r="131" spans="1:2">
      <c r="A131" t="s">
        <v>258</v>
      </c>
      <c r="B131" t="s">
        <v>259</v>
      </c>
    </row>
    <row r="132" spans="1:2">
      <c r="A132" t="s">
        <v>94</v>
      </c>
      <c r="B132" t="s">
        <v>95</v>
      </c>
    </row>
    <row r="133" spans="1:2">
      <c r="A133" t="s">
        <v>267</v>
      </c>
      <c r="B133" t="s">
        <v>268</v>
      </c>
    </row>
    <row r="134" spans="1:2">
      <c r="A134" t="s">
        <v>300</v>
      </c>
      <c r="B134" t="s">
        <v>301</v>
      </c>
    </row>
    <row r="135" spans="1:2">
      <c r="A135" t="s">
        <v>263</v>
      </c>
      <c r="B135" t="s">
        <v>264</v>
      </c>
    </row>
    <row r="136" spans="1:2">
      <c r="A136" t="s">
        <v>128</v>
      </c>
      <c r="B136" t="s">
        <v>129</v>
      </c>
    </row>
    <row r="137" spans="1:2">
      <c r="A137" t="s">
        <v>272</v>
      </c>
      <c r="B137" t="s">
        <v>273</v>
      </c>
    </row>
    <row r="138" spans="1:2">
      <c r="A138" t="s">
        <v>265</v>
      </c>
      <c r="B138" t="s">
        <v>266</v>
      </c>
    </row>
    <row r="139" spans="1:2">
      <c r="A139" t="s">
        <v>270</v>
      </c>
      <c r="B139" t="s">
        <v>271</v>
      </c>
    </row>
    <row r="140" spans="1:2">
      <c r="A140" t="s">
        <v>274</v>
      </c>
      <c r="B140" t="s">
        <v>275</v>
      </c>
    </row>
    <row r="141" spans="1:2">
      <c r="A141" t="s">
        <v>124</v>
      </c>
      <c r="B141" t="s">
        <v>125</v>
      </c>
    </row>
    <row r="142" spans="1:2">
      <c r="A142" t="s">
        <v>302</v>
      </c>
      <c r="B142" t="s">
        <v>303</v>
      </c>
    </row>
    <row r="143" spans="1:2">
      <c r="A143" t="s">
        <v>250</v>
      </c>
      <c r="B143" t="s">
        <v>251</v>
      </c>
    </row>
    <row r="144" spans="1:2">
      <c r="A144" t="s">
        <v>261</v>
      </c>
      <c r="B144" t="s">
        <v>262</v>
      </c>
    </row>
    <row r="145" spans="1:2">
      <c r="A145" t="s">
        <v>71</v>
      </c>
      <c r="B145" t="s">
        <v>72</v>
      </c>
    </row>
    <row r="146" spans="1:2">
      <c r="A146" t="s">
        <v>260</v>
      </c>
      <c r="B146" t="s">
        <v>72</v>
      </c>
    </row>
    <row r="147" spans="1:2">
      <c r="A147" t="s">
        <v>269</v>
      </c>
      <c r="B147" t="s">
        <v>72</v>
      </c>
    </row>
    <row r="148" spans="1:2">
      <c r="A148" t="s">
        <v>252</v>
      </c>
      <c r="B148" t="s">
        <v>253</v>
      </c>
    </row>
    <row r="149" spans="1:2">
      <c r="A149" t="s">
        <v>254</v>
      </c>
      <c r="B149" t="s">
        <v>255</v>
      </c>
    </row>
    <row r="150" spans="1:2">
      <c r="A150" t="s">
        <v>256</v>
      </c>
      <c r="B150" t="s">
        <v>257</v>
      </c>
    </row>
    <row r="151" spans="1:2">
      <c r="A151" t="s">
        <v>304</v>
      </c>
      <c r="B151" t="s">
        <v>305</v>
      </c>
    </row>
    <row r="152" spans="1:2">
      <c r="A152" t="s">
        <v>15</v>
      </c>
      <c r="B152" t="s">
        <v>224</v>
      </c>
    </row>
    <row r="153" spans="1:2">
      <c r="A153" t="s">
        <v>17</v>
      </c>
      <c r="B153" t="s">
        <v>225</v>
      </c>
    </row>
    <row r="154" spans="1:2">
      <c r="A154" t="s">
        <v>142</v>
      </c>
      <c r="B154" t="s">
        <v>32</v>
      </c>
    </row>
    <row r="155" spans="1:2">
      <c r="A155" t="s">
        <v>154</v>
      </c>
      <c r="B155" t="s">
        <v>155</v>
      </c>
    </row>
    <row r="156" spans="1:2">
      <c r="A156" t="s">
        <v>156</v>
      </c>
      <c r="B156" t="s">
        <v>22</v>
      </c>
    </row>
    <row r="157" spans="1:2">
      <c r="A157" t="s">
        <v>157</v>
      </c>
      <c r="B157" t="s">
        <v>158</v>
      </c>
    </row>
    <row r="158" spans="1:2">
      <c r="A158" t="s">
        <v>159</v>
      </c>
      <c r="B158" t="s">
        <v>160</v>
      </c>
    </row>
    <row r="159" spans="1:2">
      <c r="A159" t="s">
        <v>161</v>
      </c>
      <c r="B159" t="s">
        <v>162</v>
      </c>
    </row>
    <row r="160" spans="1:2">
      <c r="A160" t="s">
        <v>306</v>
      </c>
      <c r="B160" t="s">
        <v>32</v>
      </c>
    </row>
    <row r="161" spans="1:2">
      <c r="A161" t="s">
        <v>307</v>
      </c>
      <c r="B161" t="s">
        <v>308</v>
      </c>
    </row>
    <row r="162" spans="1:2">
      <c r="A162" t="s">
        <v>51</v>
      </c>
      <c r="B162" t="s">
        <v>52</v>
      </c>
    </row>
    <row r="163" spans="1:2">
      <c r="A163" t="s">
        <v>15</v>
      </c>
      <c r="B163" t="s">
        <v>224</v>
      </c>
    </row>
    <row r="164" spans="1:2">
      <c r="A164" t="s">
        <v>17</v>
      </c>
      <c r="B164" t="s">
        <v>225</v>
      </c>
    </row>
    <row r="165" spans="1:2">
      <c r="A165" t="s">
        <v>85</v>
      </c>
      <c r="B165" t="s">
        <v>86</v>
      </c>
    </row>
    <row r="166" spans="1:2">
      <c r="A166" t="s">
        <v>53</v>
      </c>
      <c r="B166" t="s">
        <v>54</v>
      </c>
    </row>
    <row r="167" spans="1:2">
      <c r="A167" t="s">
        <v>51</v>
      </c>
      <c r="B167" t="s">
        <v>52</v>
      </c>
    </row>
    <row r="168" spans="1:2">
      <c r="A168" t="s">
        <v>15</v>
      </c>
      <c r="B168" t="s">
        <v>16</v>
      </c>
    </row>
    <row r="169" spans="1:2">
      <c r="A169" t="s">
        <v>17</v>
      </c>
      <c r="B169" t="s">
        <v>18</v>
      </c>
    </row>
    <row r="170" spans="1:2">
      <c r="A170" t="s">
        <v>239</v>
      </c>
      <c r="B170" t="s">
        <v>240</v>
      </c>
    </row>
    <row r="171" spans="1:2">
      <c r="A171" t="s">
        <v>168</v>
      </c>
      <c r="B171" t="s">
        <v>169</v>
      </c>
    </row>
    <row r="172" spans="1:2">
      <c r="A172" t="s">
        <v>241</v>
      </c>
      <c r="B172" t="s">
        <v>242</v>
      </c>
    </row>
    <row r="173" spans="1:2">
      <c r="A173" t="s">
        <v>243</v>
      </c>
      <c r="B173" t="s">
        <v>244</v>
      </c>
    </row>
    <row r="174" spans="1:2">
      <c r="A174" t="s">
        <v>309</v>
      </c>
      <c r="B174" t="s">
        <v>310</v>
      </c>
    </row>
    <row r="175" spans="1:2">
      <c r="A175" t="s">
        <v>311</v>
      </c>
      <c r="B175" t="s">
        <v>310</v>
      </c>
    </row>
    <row r="176" spans="1:2">
      <c r="A176" t="s">
        <v>15</v>
      </c>
      <c r="B176" t="s">
        <v>224</v>
      </c>
    </row>
    <row r="177" spans="1:2">
      <c r="A177" t="s">
        <v>17</v>
      </c>
      <c r="B177" t="s">
        <v>225</v>
      </c>
    </row>
    <row r="178" spans="1:2">
      <c r="A178" t="s">
        <v>312</v>
      </c>
      <c r="B178" t="s">
        <v>32</v>
      </c>
    </row>
    <row r="179" spans="1:2">
      <c r="A179" t="s">
        <v>313</v>
      </c>
      <c r="B179" t="s">
        <v>314</v>
      </c>
    </row>
    <row r="180" spans="1:2">
      <c r="A180" t="s">
        <v>315</v>
      </c>
      <c r="B180" t="s">
        <v>79</v>
      </c>
    </row>
    <row r="181" spans="1:2">
      <c r="A181" t="s">
        <v>51</v>
      </c>
      <c r="B181" t="s">
        <v>52</v>
      </c>
    </row>
    <row r="182" spans="1:2">
      <c r="A182" t="s">
        <v>15</v>
      </c>
      <c r="B182" t="s">
        <v>224</v>
      </c>
    </row>
    <row r="183" spans="1:2">
      <c r="A183" t="s">
        <v>17</v>
      </c>
      <c r="B183" t="s">
        <v>225</v>
      </c>
    </row>
    <row r="184" spans="1:2">
      <c r="A184" t="s">
        <v>306</v>
      </c>
      <c r="B184" t="s">
        <v>32</v>
      </c>
    </row>
    <row r="185" spans="1:2">
      <c r="A185" t="s">
        <v>307</v>
      </c>
      <c r="B185" t="s">
        <v>308</v>
      </c>
    </row>
    <row r="186" spans="1:2">
      <c r="A186" t="s">
        <v>51</v>
      </c>
      <c r="B186" t="s">
        <v>52</v>
      </c>
    </row>
    <row r="187" spans="1:2">
      <c r="A187" t="s">
        <v>119</v>
      </c>
      <c r="B187" t="s">
        <v>120</v>
      </c>
    </row>
    <row r="188" spans="1:2">
      <c r="A188" t="s">
        <v>109</v>
      </c>
      <c r="B188" t="s">
        <v>110</v>
      </c>
    </row>
    <row r="189" spans="1:2">
      <c r="A189" t="s">
        <v>111</v>
      </c>
      <c r="B189" t="s">
        <v>32</v>
      </c>
    </row>
    <row r="190" spans="1:2">
      <c r="A190" t="s">
        <v>78</v>
      </c>
      <c r="B190" t="s">
        <v>79</v>
      </c>
    </row>
    <row r="191" spans="1:2">
      <c r="A191" t="s">
        <v>33</v>
      </c>
      <c r="B191" t="s">
        <v>22</v>
      </c>
    </row>
    <row r="192" spans="1:2">
      <c r="A192" t="s">
        <v>15</v>
      </c>
      <c r="B192" t="s">
        <v>224</v>
      </c>
    </row>
    <row r="193" spans="1:2">
      <c r="A193" t="s">
        <v>17</v>
      </c>
      <c r="B193" t="s">
        <v>225</v>
      </c>
    </row>
    <row r="194" spans="1:2">
      <c r="A194" t="s">
        <v>316</v>
      </c>
      <c r="B194" t="s">
        <v>32</v>
      </c>
    </row>
    <row r="195" spans="1:2">
      <c r="A195" t="s">
        <v>227</v>
      </c>
      <c r="B195" t="s">
        <v>22</v>
      </c>
    </row>
    <row r="196" spans="1:2">
      <c r="A196" t="s">
        <v>51</v>
      </c>
      <c r="B196" t="s">
        <v>52</v>
      </c>
    </row>
    <row r="197" spans="1:2">
      <c r="A197" t="s">
        <v>23</v>
      </c>
      <c r="B197" t="s">
        <v>24</v>
      </c>
    </row>
    <row r="198" spans="1:2">
      <c r="A198" t="s">
        <v>143</v>
      </c>
      <c r="B198" t="s">
        <v>144</v>
      </c>
    </row>
    <row r="199" spans="1:2">
      <c r="A199" t="s">
        <v>317</v>
      </c>
      <c r="B199" t="s">
        <v>20</v>
      </c>
    </row>
    <row r="200" spans="1:2">
      <c r="A200" t="s">
        <v>318</v>
      </c>
      <c r="B200" t="s">
        <v>22</v>
      </c>
    </row>
    <row r="201" spans="1:2">
      <c r="A201" t="s">
        <v>164</v>
      </c>
      <c r="B201" t="s">
        <v>165</v>
      </c>
    </row>
    <row r="202" spans="1:2">
      <c r="A202" t="s">
        <v>146</v>
      </c>
      <c r="B202" t="s">
        <v>147</v>
      </c>
    </row>
    <row r="203" spans="1:2">
      <c r="A203" t="s">
        <v>15</v>
      </c>
      <c r="B203" t="s">
        <v>224</v>
      </c>
    </row>
    <row r="204" spans="1:2">
      <c r="A204" t="s">
        <v>17</v>
      </c>
      <c r="B204" t="s">
        <v>225</v>
      </c>
    </row>
    <row r="205" spans="1:2">
      <c r="A205" t="s">
        <v>113</v>
      </c>
      <c r="B205" t="s">
        <v>114</v>
      </c>
    </row>
    <row r="206" spans="1:2">
      <c r="A206" t="s">
        <v>319</v>
      </c>
      <c r="B206" t="s">
        <v>32</v>
      </c>
    </row>
    <row r="207" spans="1:2">
      <c r="A207" t="s">
        <v>320</v>
      </c>
      <c r="B207" t="s">
        <v>321</v>
      </c>
    </row>
    <row r="208" spans="1:2">
      <c r="A208" t="s">
        <v>322</v>
      </c>
      <c r="B208" t="s">
        <v>35</v>
      </c>
    </row>
    <row r="209" spans="1:2">
      <c r="A209" t="s">
        <v>51</v>
      </c>
      <c r="B209" t="s">
        <v>52</v>
      </c>
    </row>
    <row r="210" spans="1:2">
      <c r="A210" t="s">
        <v>43</v>
      </c>
      <c r="B210" t="s">
        <v>44</v>
      </c>
    </row>
    <row r="211" spans="1:2">
      <c r="A211" t="s">
        <v>148</v>
      </c>
      <c r="B211" t="s">
        <v>149</v>
      </c>
    </row>
    <row r="212" spans="1:2">
      <c r="A212" t="s">
        <v>323</v>
      </c>
      <c r="B212" t="s">
        <v>324</v>
      </c>
    </row>
    <row r="213" spans="1:2">
      <c r="A213" t="s">
        <v>150</v>
      </c>
      <c r="B213" t="s">
        <v>64</v>
      </c>
    </row>
    <row r="214" spans="1:2">
      <c r="A214" t="s">
        <v>151</v>
      </c>
      <c r="B214" t="s">
        <v>37</v>
      </c>
    </row>
    <row r="215" spans="1:2">
      <c r="A215" t="s">
        <v>23</v>
      </c>
      <c r="B215" t="s">
        <v>24</v>
      </c>
    </row>
    <row r="216" spans="1:2">
      <c r="A216" t="s">
        <v>325</v>
      </c>
      <c r="B216" t="s">
        <v>20</v>
      </c>
    </row>
    <row r="217" spans="1:2">
      <c r="A217" t="s">
        <v>326</v>
      </c>
      <c r="B217" t="s">
        <v>22</v>
      </c>
    </row>
    <row r="218" spans="1:2">
      <c r="A218" t="s">
        <v>327</v>
      </c>
      <c r="B218" t="s">
        <v>328</v>
      </c>
    </row>
    <row r="219" spans="1:2">
      <c r="A219" t="s">
        <v>93</v>
      </c>
      <c r="B219" t="s">
        <v>52</v>
      </c>
    </row>
    <row r="220" spans="1:2">
      <c r="A220" t="s">
        <v>43</v>
      </c>
      <c r="B220" t="s">
        <v>44</v>
      </c>
    </row>
    <row r="221" spans="1:2">
      <c r="A221" t="s">
        <v>131</v>
      </c>
      <c r="B221" t="s">
        <v>20</v>
      </c>
    </row>
    <row r="222" spans="1:2">
      <c r="A222" t="s">
        <v>138</v>
      </c>
      <c r="B222" t="s">
        <v>139</v>
      </c>
    </row>
    <row r="223" spans="1:2">
      <c r="A223" t="s">
        <v>113</v>
      </c>
      <c r="B223" t="s">
        <v>114</v>
      </c>
    </row>
    <row r="224" spans="1:2">
      <c r="A224" t="s">
        <v>55</v>
      </c>
      <c r="B224" t="s">
        <v>56</v>
      </c>
    </row>
    <row r="225" spans="1:2">
      <c r="A225" t="s">
        <v>132</v>
      </c>
      <c r="B225" t="s">
        <v>58</v>
      </c>
    </row>
    <row r="226" spans="1:2">
      <c r="A226" t="s">
        <v>133</v>
      </c>
      <c r="B226" t="s">
        <v>134</v>
      </c>
    </row>
    <row r="227" spans="1:2">
      <c r="A227" t="s">
        <v>135</v>
      </c>
      <c r="B227" t="s">
        <v>136</v>
      </c>
    </row>
    <row r="228" spans="1:2">
      <c r="A228" t="s">
        <v>137</v>
      </c>
      <c r="B228" t="s">
        <v>37</v>
      </c>
    </row>
    <row r="229" spans="1:2">
      <c r="A229" t="s">
        <v>43</v>
      </c>
      <c r="B229" t="s">
        <v>44</v>
      </c>
    </row>
    <row r="230" spans="1:2">
      <c r="A230" t="s">
        <v>193</v>
      </c>
      <c r="B230" t="s">
        <v>20</v>
      </c>
    </row>
    <row r="231" spans="1:2">
      <c r="A231" t="s">
        <v>194</v>
      </c>
      <c r="B231" t="s">
        <v>22</v>
      </c>
    </row>
    <row r="232" spans="1:2">
      <c r="A232" t="s">
        <v>195</v>
      </c>
      <c r="B232" t="s">
        <v>196</v>
      </c>
    </row>
    <row r="233" spans="1:2">
      <c r="A233" t="s">
        <v>164</v>
      </c>
      <c r="B233" t="s">
        <v>165</v>
      </c>
    </row>
    <row r="234" spans="1:2">
      <c r="A234" t="s">
        <v>43</v>
      </c>
      <c r="B234" t="s">
        <v>44</v>
      </c>
    </row>
    <row r="235" spans="1:2">
      <c r="A235" t="s">
        <v>55</v>
      </c>
      <c r="B235" t="s">
        <v>56</v>
      </c>
    </row>
    <row r="236" spans="1:2">
      <c r="A236" t="s">
        <v>57</v>
      </c>
      <c r="B236" t="s">
        <v>58</v>
      </c>
    </row>
    <row r="237" spans="1:2">
      <c r="A237" t="s">
        <v>59</v>
      </c>
      <c r="B237" t="s">
        <v>22</v>
      </c>
    </row>
    <row r="238" spans="1:2">
      <c r="A238" t="s">
        <v>83</v>
      </c>
      <c r="B238" t="s">
        <v>84</v>
      </c>
    </row>
    <row r="239" spans="1:2">
      <c r="A239" t="s">
        <v>61</v>
      </c>
      <c r="B239" t="s">
        <v>37</v>
      </c>
    </row>
    <row r="240" spans="1:2">
      <c r="A240" t="s">
        <v>85</v>
      </c>
      <c r="B240" t="s">
        <v>86</v>
      </c>
    </row>
    <row r="241" spans="1:2">
      <c r="A241" t="s">
        <v>53</v>
      </c>
      <c r="B241" t="s">
        <v>54</v>
      </c>
    </row>
    <row r="242" spans="1:2">
      <c r="A242" t="s">
        <v>51</v>
      </c>
      <c r="B242" t="s">
        <v>52</v>
      </c>
    </row>
    <row r="243" spans="1:2">
      <c r="A243" t="s">
        <v>15</v>
      </c>
      <c r="B243" t="s">
        <v>16</v>
      </c>
    </row>
    <row r="244" spans="1:2">
      <c r="A244" t="s">
        <v>17</v>
      </c>
      <c r="B244" t="s">
        <v>18</v>
      </c>
    </row>
    <row r="245" spans="1:2">
      <c r="A245" t="s">
        <v>23</v>
      </c>
      <c r="B245" t="s">
        <v>24</v>
      </c>
    </row>
    <row r="246" spans="1:2">
      <c r="A246" t="s">
        <v>75</v>
      </c>
      <c r="B246" t="s">
        <v>76</v>
      </c>
    </row>
    <row r="247" spans="1:2">
      <c r="A247" t="s">
        <v>19</v>
      </c>
      <c r="B247" t="s">
        <v>20</v>
      </c>
    </row>
    <row r="248" spans="1:2">
      <c r="A248" t="s">
        <v>21</v>
      </c>
      <c r="B248" t="s">
        <v>22</v>
      </c>
    </row>
    <row r="249" spans="1:2">
      <c r="A249" t="s">
        <v>25</v>
      </c>
      <c r="B249" t="s">
        <v>26</v>
      </c>
    </row>
    <row r="250" spans="1:2">
      <c r="A250" t="s">
        <v>27</v>
      </c>
      <c r="B250" t="s">
        <v>26</v>
      </c>
    </row>
    <row r="251" spans="1:2">
      <c r="A251" t="s">
        <v>28</v>
      </c>
      <c r="B251" t="s">
        <v>26</v>
      </c>
    </row>
    <row r="252" spans="1:2">
      <c r="A252" t="s">
        <v>77</v>
      </c>
      <c r="B252" t="s">
        <v>26</v>
      </c>
    </row>
    <row r="253" spans="1:2">
      <c r="A253" t="s">
        <v>29</v>
      </c>
      <c r="B253" t="s">
        <v>26</v>
      </c>
    </row>
    <row r="254" spans="1:2">
      <c r="A254" t="s">
        <v>30</v>
      </c>
      <c r="B254" t="s">
        <v>26</v>
      </c>
    </row>
    <row r="255" spans="1:2">
      <c r="A255" t="s">
        <v>15</v>
      </c>
      <c r="B255" t="s">
        <v>224</v>
      </c>
    </row>
    <row r="256" spans="1:2">
      <c r="A256" t="s">
        <v>17</v>
      </c>
      <c r="B256" t="s">
        <v>225</v>
      </c>
    </row>
    <row r="257" spans="1:2">
      <c r="A257" t="s">
        <v>31</v>
      </c>
      <c r="B257" t="s">
        <v>32</v>
      </c>
    </row>
    <row r="258" spans="1:2">
      <c r="A258" t="s">
        <v>78</v>
      </c>
      <c r="B258" t="s">
        <v>79</v>
      </c>
    </row>
    <row r="259" spans="1:2">
      <c r="A259" t="s">
        <v>33</v>
      </c>
      <c r="B259" t="s">
        <v>22</v>
      </c>
    </row>
    <row r="260" spans="1:2">
      <c r="A260" t="s">
        <v>34</v>
      </c>
      <c r="B260" t="s">
        <v>35</v>
      </c>
    </row>
    <row r="261" spans="1:2">
      <c r="A261" t="s">
        <v>36</v>
      </c>
      <c r="B261" t="s">
        <v>37</v>
      </c>
    </row>
    <row r="262" spans="1:2">
      <c r="A262" t="s">
        <v>38</v>
      </c>
      <c r="B262" t="s">
        <v>37</v>
      </c>
    </row>
    <row r="263" spans="1:2">
      <c r="A263" t="s">
        <v>39</v>
      </c>
      <c r="B263" t="s">
        <v>40</v>
      </c>
    </row>
    <row r="264" spans="1:2">
      <c r="A264" t="s">
        <v>41</v>
      </c>
      <c r="B264" t="s">
        <v>42</v>
      </c>
    </row>
    <row r="265" spans="1:2">
      <c r="A265" t="s">
        <v>15</v>
      </c>
      <c r="B265" t="s">
        <v>224</v>
      </c>
    </row>
    <row r="266" spans="1:2">
      <c r="A266" t="s">
        <v>17</v>
      </c>
      <c r="B266" t="s">
        <v>225</v>
      </c>
    </row>
    <row r="267" spans="1:2">
      <c r="A267" t="s">
        <v>43</v>
      </c>
      <c r="B267" t="s">
        <v>44</v>
      </c>
    </row>
    <row r="268" spans="1:2">
      <c r="A268" t="s">
        <v>73</v>
      </c>
      <c r="B268" t="s">
        <v>74</v>
      </c>
    </row>
    <row r="269" spans="1:2">
      <c r="A269" t="s">
        <v>45</v>
      </c>
      <c r="B269" t="s">
        <v>46</v>
      </c>
    </row>
    <row r="270" spans="1:2">
      <c r="A270" t="s">
        <v>47</v>
      </c>
      <c r="B270" t="s">
        <v>48</v>
      </c>
    </row>
    <row r="271" spans="1:2">
      <c r="A271" t="s">
        <v>49</v>
      </c>
      <c r="B271" t="s">
        <v>22</v>
      </c>
    </row>
    <row r="272" spans="1:2">
      <c r="A272" t="s">
        <v>50</v>
      </c>
      <c r="B272" t="s">
        <v>22</v>
      </c>
    </row>
    <row r="273" spans="1:2">
      <c r="A273" t="s">
        <v>51</v>
      </c>
      <c r="B273" t="s">
        <v>52</v>
      </c>
    </row>
    <row r="274" spans="1:2">
      <c r="A274" t="s">
        <v>43</v>
      </c>
      <c r="B274" t="s">
        <v>44</v>
      </c>
    </row>
    <row r="275" spans="1:2">
      <c r="A275" t="s">
        <v>55</v>
      </c>
      <c r="B275" t="s">
        <v>56</v>
      </c>
    </row>
    <row r="276" spans="1:2">
      <c r="A276" t="s">
        <v>57</v>
      </c>
      <c r="B276" t="s">
        <v>58</v>
      </c>
    </row>
    <row r="277" spans="1:2">
      <c r="A277" t="s">
        <v>59</v>
      </c>
      <c r="B277" t="s">
        <v>22</v>
      </c>
    </row>
    <row r="278" spans="1:2">
      <c r="A278" t="s">
        <v>60</v>
      </c>
      <c r="B278" t="s">
        <v>22</v>
      </c>
    </row>
    <row r="279" spans="1:2">
      <c r="A279" t="s">
        <v>61</v>
      </c>
      <c r="B279" t="s">
        <v>37</v>
      </c>
    </row>
    <row r="280" spans="1:2">
      <c r="A280" t="s">
        <v>51</v>
      </c>
      <c r="B280" t="s">
        <v>52</v>
      </c>
    </row>
    <row r="281" spans="1:2">
      <c r="A281" t="s">
        <v>93</v>
      </c>
      <c r="B281" t="s">
        <v>52</v>
      </c>
    </row>
    <row r="282" spans="1:2">
      <c r="A282" t="s">
        <v>71</v>
      </c>
      <c r="B282" t="s">
        <v>72</v>
      </c>
    </row>
    <row r="283" spans="1:2">
      <c r="A283" t="s">
        <v>62</v>
      </c>
      <c r="B283" t="s">
        <v>58</v>
      </c>
    </row>
    <row r="284" spans="1:2">
      <c r="A284" t="s">
        <v>63</v>
      </c>
      <c r="B284" t="s">
        <v>64</v>
      </c>
    </row>
    <row r="285" spans="1:2">
      <c r="A285" t="s">
        <v>65</v>
      </c>
      <c r="B285" t="s">
        <v>66</v>
      </c>
    </row>
    <row r="286" spans="1:2">
      <c r="A286" t="s">
        <v>67</v>
      </c>
      <c r="B286" t="s">
        <v>68</v>
      </c>
    </row>
    <row r="287" spans="1:2">
      <c r="A287" t="s">
        <v>69</v>
      </c>
      <c r="B287" t="s">
        <v>70</v>
      </c>
    </row>
    <row r="288" spans="1:2">
      <c r="A288" t="s">
        <v>101</v>
      </c>
      <c r="B288" t="s">
        <v>102</v>
      </c>
    </row>
    <row r="289" spans="1:2">
      <c r="A289" t="s">
        <v>103</v>
      </c>
      <c r="B289" t="s">
        <v>102</v>
      </c>
    </row>
    <row r="290" spans="1:2">
      <c r="A290" t="s">
        <v>104</v>
      </c>
      <c r="B290" t="s">
        <v>102</v>
      </c>
    </row>
    <row r="291" spans="1:2">
      <c r="A291" t="s">
        <v>105</v>
      </c>
      <c r="B291" t="s">
        <v>102</v>
      </c>
    </row>
    <row r="292" spans="1:2">
      <c r="A292" t="s">
        <v>106</v>
      </c>
      <c r="B292" t="s">
        <v>102</v>
      </c>
    </row>
    <row r="293" spans="1:2">
      <c r="A293" t="s">
        <v>107</v>
      </c>
      <c r="B293" t="s">
        <v>102</v>
      </c>
    </row>
    <row r="294" spans="1:2">
      <c r="A294" t="s">
        <v>53</v>
      </c>
      <c r="B294" t="s">
        <v>54</v>
      </c>
    </row>
    <row r="295" spans="1:2">
      <c r="A295" t="s">
        <v>15</v>
      </c>
      <c r="B295" t="s">
        <v>16</v>
      </c>
    </row>
    <row r="296" spans="1:2">
      <c r="A296" t="s">
        <v>17</v>
      </c>
      <c r="B296" t="s">
        <v>18</v>
      </c>
    </row>
    <row r="297" spans="1:2">
      <c r="A297" t="s">
        <v>119</v>
      </c>
      <c r="B297" t="s">
        <v>120</v>
      </c>
    </row>
    <row r="298" spans="1:2">
      <c r="A298" t="s">
        <v>109</v>
      </c>
      <c r="B298" t="s">
        <v>110</v>
      </c>
    </row>
    <row r="299" spans="1:2">
      <c r="A299" t="s">
        <v>111</v>
      </c>
      <c r="B299" t="s">
        <v>32</v>
      </c>
    </row>
    <row r="300" spans="1:2">
      <c r="A300" t="s">
        <v>78</v>
      </c>
      <c r="B300" t="s">
        <v>79</v>
      </c>
    </row>
    <row r="301" spans="1:2">
      <c r="A301" t="s">
        <v>33</v>
      </c>
      <c r="B301" t="s">
        <v>22</v>
      </c>
    </row>
    <row r="302" spans="1:2">
      <c r="A302" t="s">
        <v>71</v>
      </c>
      <c r="B302" t="s">
        <v>72</v>
      </c>
    </row>
    <row r="303" spans="1:2">
      <c r="A303" t="s">
        <v>122</v>
      </c>
      <c r="B303" t="s">
        <v>72</v>
      </c>
    </row>
    <row r="304" spans="1:2">
      <c r="A304" t="s">
        <v>112</v>
      </c>
      <c r="B304" t="s">
        <v>72</v>
      </c>
    </row>
    <row r="305" spans="1:2">
      <c r="A305" t="s">
        <v>93</v>
      </c>
      <c r="B305" t="s">
        <v>52</v>
      </c>
    </row>
    <row r="306" spans="1:2">
      <c r="A306" t="s">
        <v>113</v>
      </c>
      <c r="B306" t="s">
        <v>114</v>
      </c>
    </row>
    <row r="307" spans="1:2">
      <c r="A307" t="s">
        <v>115</v>
      </c>
      <c r="B307" t="s">
        <v>58</v>
      </c>
    </row>
    <row r="308" spans="1:2">
      <c r="A308" t="s">
        <v>116</v>
      </c>
      <c r="B308" t="s">
        <v>117</v>
      </c>
    </row>
    <row r="309" spans="1:2">
      <c r="A309" t="s">
        <v>121</v>
      </c>
      <c r="B309" t="s">
        <v>37</v>
      </c>
    </row>
    <row r="310" spans="1:2">
      <c r="A310" t="s">
        <v>118</v>
      </c>
      <c r="B310" t="s">
        <v>37</v>
      </c>
    </row>
    <row r="311" spans="1:2">
      <c r="A311" t="s">
        <v>15</v>
      </c>
      <c r="B311" t="s">
        <v>224</v>
      </c>
    </row>
    <row r="312" spans="1:2">
      <c r="A312" t="s">
        <v>17</v>
      </c>
      <c r="B312" t="s">
        <v>225</v>
      </c>
    </row>
    <row r="313" spans="1:2">
      <c r="A313" t="s">
        <v>31</v>
      </c>
      <c r="B313" t="s">
        <v>32</v>
      </c>
    </row>
    <row r="314" spans="1:2">
      <c r="A314" t="s">
        <v>78</v>
      </c>
      <c r="B314" t="s">
        <v>79</v>
      </c>
    </row>
    <row r="315" spans="1:2">
      <c r="A315" t="s">
        <v>33</v>
      </c>
      <c r="B315" t="s">
        <v>22</v>
      </c>
    </row>
    <row r="316" spans="1:2">
      <c r="A316" t="s">
        <v>36</v>
      </c>
      <c r="B316" t="s">
        <v>37</v>
      </c>
    </row>
    <row r="317" spans="1:2">
      <c r="A317" t="s">
        <v>38</v>
      </c>
      <c r="B317" t="s">
        <v>37</v>
      </c>
    </row>
    <row r="318" spans="1:2">
      <c r="A318" t="s">
        <v>81</v>
      </c>
      <c r="B318" t="s">
        <v>20</v>
      </c>
    </row>
    <row r="319" spans="1:2">
      <c r="A319" t="s">
        <v>80</v>
      </c>
      <c r="B319" t="s">
        <v>37</v>
      </c>
    </row>
    <row r="320" spans="1:2">
      <c r="A320" t="s">
        <v>209</v>
      </c>
      <c r="B320" t="s">
        <v>210</v>
      </c>
    </row>
    <row r="321" spans="1:2">
      <c r="A321" t="s">
        <v>204</v>
      </c>
      <c r="B321" t="s">
        <v>205</v>
      </c>
    </row>
    <row r="322" spans="1:2">
      <c r="A322" t="s">
        <v>206</v>
      </c>
      <c r="B322" t="s">
        <v>299</v>
      </c>
    </row>
    <row r="323" spans="1:2">
      <c r="A323" t="s">
        <v>198</v>
      </c>
      <c r="B323" t="s">
        <v>199</v>
      </c>
    </row>
    <row r="324" spans="1:2">
      <c r="A324" t="s">
        <v>93</v>
      </c>
      <c r="B324" t="s">
        <v>52</v>
      </c>
    </row>
    <row r="325" spans="1:2">
      <c r="A325" t="s">
        <v>200</v>
      </c>
      <c r="B325" t="s">
        <v>37</v>
      </c>
    </row>
    <row r="326" spans="1:2">
      <c r="A326" t="s">
        <v>88</v>
      </c>
      <c r="B326" t="s">
        <v>89</v>
      </c>
    </row>
    <row r="327" spans="1:2">
      <c r="A327" t="s">
        <v>208</v>
      </c>
      <c r="B327" t="s">
        <v>99</v>
      </c>
    </row>
    <row r="328" spans="1:2">
      <c r="A328" t="s">
        <v>201</v>
      </c>
      <c r="B328" t="s">
        <v>202</v>
      </c>
    </row>
    <row r="329" spans="1:2">
      <c r="A329" t="s">
        <v>92</v>
      </c>
      <c r="B329" t="s">
        <v>22</v>
      </c>
    </row>
    <row r="330" spans="1:2">
      <c r="A330" t="s">
        <v>94</v>
      </c>
      <c r="B330" t="s">
        <v>95</v>
      </c>
    </row>
    <row r="331" spans="1:2">
      <c r="A331" t="s">
        <v>96</v>
      </c>
      <c r="B331" t="s">
        <v>97</v>
      </c>
    </row>
    <row r="332" spans="1:2">
      <c r="A332" t="s">
        <v>203</v>
      </c>
      <c r="B332" t="s">
        <v>37</v>
      </c>
    </row>
    <row r="333" spans="1:2">
      <c r="A333" t="s">
        <v>23</v>
      </c>
      <c r="B333" t="s">
        <v>24</v>
      </c>
    </row>
    <row r="334" spans="1:2">
      <c r="A334" t="s">
        <v>143</v>
      </c>
      <c r="B334" t="s">
        <v>144</v>
      </c>
    </row>
    <row r="335" spans="1:2">
      <c r="A335" t="s">
        <v>141</v>
      </c>
      <c r="B335" t="s">
        <v>20</v>
      </c>
    </row>
    <row r="336" spans="1:2">
      <c r="A336" t="s">
        <v>145</v>
      </c>
      <c r="B336" t="s">
        <v>22</v>
      </c>
    </row>
    <row r="337" spans="1:2">
      <c r="A337" t="s">
        <v>164</v>
      </c>
      <c r="B337" t="s">
        <v>165</v>
      </c>
    </row>
    <row r="338" spans="1:2">
      <c r="A338" t="s">
        <v>146</v>
      </c>
      <c r="B338" t="s">
        <v>147</v>
      </c>
    </row>
    <row r="339" spans="1:2">
      <c r="A339" t="s">
        <v>43</v>
      </c>
      <c r="B339" t="s">
        <v>44</v>
      </c>
    </row>
    <row r="340" spans="1:2">
      <c r="A340" t="s">
        <v>148</v>
      </c>
      <c r="B340" t="s">
        <v>149</v>
      </c>
    </row>
    <row r="341" spans="1:2">
      <c r="A341" t="s">
        <v>150</v>
      </c>
      <c r="B341" t="s">
        <v>64</v>
      </c>
    </row>
    <row r="342" spans="1:2">
      <c r="A342" t="s">
        <v>151</v>
      </c>
      <c r="B342" t="s">
        <v>37</v>
      </c>
    </row>
    <row r="343" spans="1:2">
      <c r="A343" t="s">
        <v>15</v>
      </c>
      <c r="B343" t="s">
        <v>224</v>
      </c>
    </row>
    <row r="344" spans="1:2">
      <c r="A344" t="s">
        <v>17</v>
      </c>
      <c r="B344" t="s">
        <v>225</v>
      </c>
    </row>
    <row r="345" spans="1:2">
      <c r="A345" t="s">
        <v>166</v>
      </c>
      <c r="B345" t="s">
        <v>167</v>
      </c>
    </row>
    <row r="346" spans="1:2">
      <c r="A346" t="s">
        <v>119</v>
      </c>
      <c r="B346" t="s">
        <v>120</v>
      </c>
    </row>
    <row r="347" spans="1:2">
      <c r="A347" t="s">
        <v>152</v>
      </c>
      <c r="B347" t="s">
        <v>153</v>
      </c>
    </row>
    <row r="348" spans="1:2">
      <c r="A348" t="s">
        <v>113</v>
      </c>
      <c r="B348" t="s">
        <v>114</v>
      </c>
    </row>
    <row r="349" spans="1:2">
      <c r="A349" t="s">
        <v>124</v>
      </c>
      <c r="B349" t="s">
        <v>125</v>
      </c>
    </row>
    <row r="350" spans="1:2">
      <c r="A350" t="s">
        <v>168</v>
      </c>
      <c r="B350" t="s">
        <v>169</v>
      </c>
    </row>
    <row r="351" spans="1:2">
      <c r="A351" t="s">
        <v>142</v>
      </c>
      <c r="B351" t="s">
        <v>32</v>
      </c>
    </row>
    <row r="352" spans="1:2">
      <c r="A352" t="s">
        <v>154</v>
      </c>
      <c r="B352" t="s">
        <v>155</v>
      </c>
    </row>
    <row r="353" spans="1:2">
      <c r="A353" t="s">
        <v>156</v>
      </c>
      <c r="B353" t="s">
        <v>22</v>
      </c>
    </row>
    <row r="354" spans="1:2">
      <c r="A354" t="s">
        <v>157</v>
      </c>
      <c r="B354" t="s">
        <v>158</v>
      </c>
    </row>
    <row r="355" spans="1:2">
      <c r="A355" t="s">
        <v>159</v>
      </c>
      <c r="B355" t="s">
        <v>160</v>
      </c>
    </row>
    <row r="356" spans="1:2">
      <c r="A356" t="s">
        <v>161</v>
      </c>
      <c r="B356" t="s">
        <v>162</v>
      </c>
    </row>
    <row r="357" spans="1:2">
      <c r="A357" t="s">
        <v>71</v>
      </c>
      <c r="B357" t="s">
        <v>72</v>
      </c>
    </row>
    <row r="358" spans="1:2">
      <c r="A358" t="s">
        <v>163</v>
      </c>
      <c r="B358" t="s">
        <v>37</v>
      </c>
    </row>
    <row r="359" spans="1:2">
      <c r="A359" t="s">
        <v>15</v>
      </c>
      <c r="B359" t="s">
        <v>224</v>
      </c>
    </row>
    <row r="360" spans="1:2">
      <c r="A360" t="s">
        <v>17</v>
      </c>
      <c r="B360" t="s">
        <v>225</v>
      </c>
    </row>
    <row r="361" spans="1:2">
      <c r="A361" t="s">
        <v>88</v>
      </c>
      <c r="B361" t="s">
        <v>89</v>
      </c>
    </row>
    <row r="362" spans="1:2">
      <c r="A362" t="s">
        <v>98</v>
      </c>
      <c r="B362" t="s">
        <v>99</v>
      </c>
    </row>
    <row r="363" spans="1:2">
      <c r="A363" t="s">
        <v>90</v>
      </c>
      <c r="B363" t="s">
        <v>91</v>
      </c>
    </row>
    <row r="364" spans="1:2">
      <c r="A364" t="s">
        <v>92</v>
      </c>
      <c r="B364" t="s">
        <v>22</v>
      </c>
    </row>
    <row r="365" spans="1:2">
      <c r="A365" t="s">
        <v>94</v>
      </c>
      <c r="B365" t="s">
        <v>95</v>
      </c>
    </row>
    <row r="366" spans="1:2">
      <c r="A366" t="s">
        <v>96</v>
      </c>
      <c r="B366" t="s">
        <v>97</v>
      </c>
    </row>
    <row r="367" spans="1:2">
      <c r="A367" t="s">
        <v>93</v>
      </c>
      <c r="B367" t="s">
        <v>52</v>
      </c>
    </row>
    <row r="368" spans="1:2">
      <c r="A368" t="s">
        <v>15</v>
      </c>
      <c r="B368" t="s">
        <v>224</v>
      </c>
    </row>
    <row r="369" spans="1:2">
      <c r="A369" t="s">
        <v>17</v>
      </c>
      <c r="B369" t="s">
        <v>225</v>
      </c>
    </row>
    <row r="370" spans="1:2">
      <c r="A370" t="s">
        <v>172</v>
      </c>
      <c r="B370" t="s">
        <v>173</v>
      </c>
    </row>
    <row r="371" spans="1:2">
      <c r="A371" t="s">
        <v>174</v>
      </c>
      <c r="B371" t="s">
        <v>22</v>
      </c>
    </row>
    <row r="372" spans="1:2">
      <c r="A372" t="s">
        <v>51</v>
      </c>
      <c r="B372" t="s">
        <v>52</v>
      </c>
    </row>
    <row r="373" spans="1:2">
      <c r="A373" t="s">
        <v>15</v>
      </c>
      <c r="B373" t="s">
        <v>224</v>
      </c>
    </row>
    <row r="374" spans="1:2">
      <c r="A374" t="s">
        <v>17</v>
      </c>
      <c r="B374" t="s">
        <v>225</v>
      </c>
    </row>
    <row r="375" spans="1:2">
      <c r="A375" t="s">
        <v>171</v>
      </c>
      <c r="B375" t="s">
        <v>74</v>
      </c>
    </row>
    <row r="376" spans="1:2">
      <c r="A376" t="s">
        <v>175</v>
      </c>
      <c r="B376" t="s">
        <v>22</v>
      </c>
    </row>
    <row r="377" spans="1:2">
      <c r="A377" t="s">
        <v>51</v>
      </c>
      <c r="B377" t="s">
        <v>52</v>
      </c>
    </row>
    <row r="378" spans="1:2">
      <c r="A378" t="s">
        <v>176</v>
      </c>
      <c r="B378" t="s">
        <v>37</v>
      </c>
    </row>
    <row r="379" spans="1:2">
      <c r="A379" t="s">
        <v>15</v>
      </c>
      <c r="B379" t="s">
        <v>224</v>
      </c>
    </row>
    <row r="380" spans="1:2">
      <c r="A380" t="s">
        <v>17</v>
      </c>
      <c r="B380" t="s">
        <v>225</v>
      </c>
    </row>
    <row r="381" spans="1:2">
      <c r="A381" t="s">
        <v>166</v>
      </c>
      <c r="B381" t="s">
        <v>167</v>
      </c>
    </row>
    <row r="382" spans="1:2">
      <c r="A382" t="s">
        <v>119</v>
      </c>
      <c r="B382" t="s">
        <v>120</v>
      </c>
    </row>
    <row r="383" spans="1:2">
      <c r="A383" t="s">
        <v>152</v>
      </c>
      <c r="B383" t="s">
        <v>153</v>
      </c>
    </row>
    <row r="384" spans="1:2">
      <c r="A384" t="s">
        <v>113</v>
      </c>
      <c r="B384" t="s">
        <v>114</v>
      </c>
    </row>
    <row r="385" spans="1:2">
      <c r="A385" t="s">
        <v>124</v>
      </c>
      <c r="B385" t="s">
        <v>125</v>
      </c>
    </row>
    <row r="386" spans="1:2">
      <c r="A386" t="s">
        <v>168</v>
      </c>
      <c r="B386" t="s">
        <v>169</v>
      </c>
    </row>
    <row r="387" spans="1:2">
      <c r="A387" t="s">
        <v>142</v>
      </c>
      <c r="B387" t="s">
        <v>32</v>
      </c>
    </row>
    <row r="388" spans="1:2">
      <c r="A388" t="s">
        <v>154</v>
      </c>
      <c r="B388" t="s">
        <v>155</v>
      </c>
    </row>
    <row r="389" spans="1:2">
      <c r="A389" t="s">
        <v>156</v>
      </c>
      <c r="B389" t="s">
        <v>22</v>
      </c>
    </row>
    <row r="390" spans="1:2">
      <c r="A390" t="s">
        <v>157</v>
      </c>
      <c r="B390" t="s">
        <v>158</v>
      </c>
    </row>
    <row r="391" spans="1:2">
      <c r="A391" t="s">
        <v>159</v>
      </c>
      <c r="B391" t="s">
        <v>160</v>
      </c>
    </row>
    <row r="392" spans="1:2">
      <c r="A392" t="s">
        <v>161</v>
      </c>
      <c r="B392" t="s">
        <v>162</v>
      </c>
    </row>
    <row r="393" spans="1:2">
      <c r="A393" t="s">
        <v>15</v>
      </c>
      <c r="B393" t="s">
        <v>224</v>
      </c>
    </row>
    <row r="394" spans="1:2">
      <c r="A394" t="s">
        <v>17</v>
      </c>
      <c r="B394" t="s">
        <v>225</v>
      </c>
    </row>
    <row r="395" spans="1:2">
      <c r="A395" t="s">
        <v>177</v>
      </c>
      <c r="B395" t="s">
        <v>178</v>
      </c>
    </row>
    <row r="396" spans="1:2">
      <c r="A396" t="s">
        <v>124</v>
      </c>
      <c r="B396" t="s">
        <v>125</v>
      </c>
    </row>
    <row r="397" spans="1:2">
      <c r="A397" t="s">
        <v>168</v>
      </c>
      <c r="B397" t="s">
        <v>169</v>
      </c>
    </row>
    <row r="398" spans="1:2">
      <c r="A398" t="s">
        <v>190</v>
      </c>
      <c r="B398" t="s">
        <v>32</v>
      </c>
    </row>
    <row r="399" spans="1:2">
      <c r="A399" t="s">
        <v>179</v>
      </c>
      <c r="B399" t="s">
        <v>180</v>
      </c>
    </row>
    <row r="400" spans="1:2">
      <c r="A400" t="s">
        <v>181</v>
      </c>
      <c r="B400" t="s">
        <v>182</v>
      </c>
    </row>
    <row r="401" spans="1:2">
      <c r="A401" t="s">
        <v>183</v>
      </c>
      <c r="B401" t="s">
        <v>184</v>
      </c>
    </row>
    <row r="402" spans="1:2">
      <c r="A402" t="s">
        <v>51</v>
      </c>
      <c r="B402" t="s">
        <v>52</v>
      </c>
    </row>
    <row r="403" spans="1:2">
      <c r="A403" t="s">
        <v>113</v>
      </c>
      <c r="B403" t="s">
        <v>114</v>
      </c>
    </row>
    <row r="404" spans="1:2">
      <c r="A404" t="s">
        <v>329</v>
      </c>
      <c r="B404" t="s">
        <v>278</v>
      </c>
    </row>
    <row r="405" spans="1:2">
      <c r="A405" t="s">
        <v>185</v>
      </c>
      <c r="B405" t="s">
        <v>186</v>
      </c>
    </row>
    <row r="406" spans="1:2">
      <c r="A406" t="s">
        <v>187</v>
      </c>
      <c r="B406" t="s">
        <v>22</v>
      </c>
    </row>
    <row r="407" spans="1:2">
      <c r="A407" t="s">
        <v>188</v>
      </c>
      <c r="B407" t="s">
        <v>189</v>
      </c>
    </row>
    <row r="408" spans="1:2">
      <c r="A408" t="s">
        <v>88</v>
      </c>
      <c r="B408" t="s">
        <v>89</v>
      </c>
    </row>
    <row r="409" spans="1:2">
      <c r="A409" t="s">
        <v>208</v>
      </c>
      <c r="B409" t="s">
        <v>99</v>
      </c>
    </row>
    <row r="410" spans="1:2">
      <c r="A410" t="s">
        <v>201</v>
      </c>
      <c r="B410" t="s">
        <v>202</v>
      </c>
    </row>
    <row r="411" spans="1:2">
      <c r="A411" t="s">
        <v>92</v>
      </c>
      <c r="B411" t="s">
        <v>22</v>
      </c>
    </row>
    <row r="412" spans="1:2">
      <c r="A412" t="s">
        <v>94</v>
      </c>
      <c r="B412" t="s">
        <v>95</v>
      </c>
    </row>
    <row r="413" spans="1:2">
      <c r="A413" t="s">
        <v>96</v>
      </c>
      <c r="B413" t="s">
        <v>97</v>
      </c>
    </row>
    <row r="414" spans="1:2">
      <c r="A414" t="s">
        <v>203</v>
      </c>
      <c r="B414" t="s">
        <v>37</v>
      </c>
    </row>
    <row r="415" spans="1:2">
      <c r="A415" t="s">
        <v>219</v>
      </c>
      <c r="B415" t="s">
        <v>35</v>
      </c>
    </row>
    <row r="416" spans="1:2">
      <c r="A416" t="s">
        <v>211</v>
      </c>
      <c r="B416" t="s">
        <v>212</v>
      </c>
    </row>
    <row r="417" spans="1:2">
      <c r="A417" t="s">
        <v>213</v>
      </c>
      <c r="B417" t="s">
        <v>214</v>
      </c>
    </row>
    <row r="418" spans="1:2">
      <c r="A418" t="s">
        <v>215</v>
      </c>
      <c r="B418" t="s">
        <v>216</v>
      </c>
    </row>
    <row r="419" spans="1:2">
      <c r="A419" t="s">
        <v>217</v>
      </c>
      <c r="B419" t="s">
        <v>218</v>
      </c>
    </row>
    <row r="420" spans="1:2">
      <c r="A420" t="s">
        <v>330</v>
      </c>
      <c r="B420" t="s">
        <v>331</v>
      </c>
    </row>
    <row r="421" spans="1:2">
      <c r="A421" t="s">
        <v>332</v>
      </c>
      <c r="B421" t="s">
        <v>333</v>
      </c>
    </row>
    <row r="422" spans="1:2">
      <c r="A422" t="s">
        <v>113</v>
      </c>
      <c r="B422" t="s">
        <v>114</v>
      </c>
    </row>
    <row r="423" spans="1:2">
      <c r="A423" t="s">
        <v>334</v>
      </c>
      <c r="B423" t="s">
        <v>216</v>
      </c>
    </row>
    <row r="424" spans="1:2">
      <c r="A424" t="s">
        <v>335</v>
      </c>
      <c r="B424" t="s">
        <v>336</v>
      </c>
    </row>
    <row r="425" spans="1:2">
      <c r="A425" t="s">
        <v>15</v>
      </c>
      <c r="B425" t="s">
        <v>224</v>
      </c>
    </row>
    <row r="426" spans="1:2">
      <c r="A426" t="s">
        <v>17</v>
      </c>
      <c r="B426" t="s">
        <v>225</v>
      </c>
    </row>
    <row r="427" spans="1:2">
      <c r="A427" t="s">
        <v>316</v>
      </c>
      <c r="B427" t="s">
        <v>32</v>
      </c>
    </row>
    <row r="428" spans="1:2">
      <c r="A428" t="s">
        <v>227</v>
      </c>
      <c r="B428" t="s">
        <v>22</v>
      </c>
    </row>
    <row r="429" spans="1:2">
      <c r="A429" t="s">
        <v>51</v>
      </c>
      <c r="B429" t="s">
        <v>52</v>
      </c>
    </row>
    <row r="430" spans="1:2">
      <c r="A430" t="s">
        <v>152</v>
      </c>
      <c r="B430" t="s">
        <v>153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workbookViewId="0">
      <selection activeCell="A1" sqref="A1:D23"/>
    </sheetView>
  </sheetViews>
  <sheetFormatPr defaultColWidth="9" defaultRowHeight="13.5"/>
  <cols>
    <col min="1" max="1" width="15.75" customWidth="1"/>
    <col min="2" max="2" width="14.25" customWidth="1"/>
    <col min="6" max="6" width="17.75" customWidth="1"/>
    <col min="10" max="10" width="18.3833333333333" customWidth="1"/>
    <col min="12" max="12" width="17" customWidth="1"/>
  </cols>
  <sheetData>
    <row r="1" spans="1:18">
      <c r="A1" t="s">
        <v>15</v>
      </c>
      <c r="B1" t="s">
        <v>16</v>
      </c>
      <c r="C1">
        <v>5200</v>
      </c>
      <c r="D1">
        <f>VLOOKUP(A1,J:L,3,0)</f>
        <v>0.14</v>
      </c>
      <c r="J1" t="s">
        <v>337</v>
      </c>
      <c r="K1" t="s">
        <v>10</v>
      </c>
      <c r="L1" t="s">
        <v>338</v>
      </c>
      <c r="N1" t="s">
        <v>339</v>
      </c>
      <c r="O1" t="s">
        <v>340</v>
      </c>
    </row>
    <row r="2" spans="1:18">
      <c r="A2" t="s">
        <v>17</v>
      </c>
      <c r="B2" t="s">
        <v>18</v>
      </c>
      <c r="C2">
        <v>5200</v>
      </c>
      <c r="D2">
        <f t="shared" ref="D2:D23" si="0">VLOOKUP(A2,J:L,3,0)</f>
        <v>0.14</v>
      </c>
      <c r="J2" t="s">
        <v>15</v>
      </c>
      <c r="K2" t="s">
        <v>16</v>
      </c>
      <c r="L2">
        <v>0.14</v>
      </c>
      <c r="M2">
        <v>364</v>
      </c>
      <c r="N2">
        <v>0.2</v>
      </c>
      <c r="O2">
        <v>2600</v>
      </c>
      <c r="P2">
        <f>O2*Q2</f>
        <v>5200</v>
      </c>
      <c r="Q2">
        <v>2</v>
      </c>
      <c r="R2">
        <f>L2</f>
        <v>0.14</v>
      </c>
    </row>
    <row r="3" spans="1:18">
      <c r="A3" t="s">
        <v>341</v>
      </c>
      <c r="B3" t="s">
        <v>167</v>
      </c>
      <c r="C3">
        <v>24</v>
      </c>
      <c r="D3">
        <f t="shared" si="0"/>
        <v>0.4</v>
      </c>
      <c r="J3" t="s">
        <v>17</v>
      </c>
      <c r="K3" t="s">
        <v>18</v>
      </c>
      <c r="L3">
        <v>0.14</v>
      </c>
      <c r="M3">
        <v>364</v>
      </c>
      <c r="N3">
        <v>0.2</v>
      </c>
      <c r="O3">
        <v>2600</v>
      </c>
      <c r="P3">
        <f t="shared" ref="P3:P25" si="1">O3*Q3</f>
        <v>5200</v>
      </c>
      <c r="Q3">
        <v>2</v>
      </c>
      <c r="R3">
        <f t="shared" ref="R3:R25" si="2">L3</f>
        <v>0.14</v>
      </c>
    </row>
    <row r="4" spans="1:18">
      <c r="A4" t="s">
        <v>342</v>
      </c>
      <c r="B4" t="s">
        <v>343</v>
      </c>
      <c r="C4">
        <v>40</v>
      </c>
      <c r="D4">
        <f t="shared" si="0"/>
        <v>2.83</v>
      </c>
      <c r="J4" t="s">
        <v>341</v>
      </c>
      <c r="K4" t="s">
        <v>167</v>
      </c>
      <c r="L4">
        <v>0.4</v>
      </c>
      <c r="M4">
        <v>4.8</v>
      </c>
      <c r="N4">
        <v>0.45</v>
      </c>
      <c r="O4">
        <v>12</v>
      </c>
      <c r="P4">
        <f t="shared" si="1"/>
        <v>24</v>
      </c>
      <c r="Q4">
        <v>2</v>
      </c>
      <c r="R4">
        <f t="shared" si="2"/>
        <v>0.4</v>
      </c>
    </row>
    <row r="5" spans="1:18">
      <c r="A5" t="s">
        <v>344</v>
      </c>
      <c r="B5" t="s">
        <v>345</v>
      </c>
      <c r="C5">
        <v>48</v>
      </c>
      <c r="D5">
        <f t="shared" si="0"/>
        <v>1.7</v>
      </c>
      <c r="J5" t="s">
        <v>342</v>
      </c>
      <c r="K5" t="s">
        <v>343</v>
      </c>
      <c r="L5">
        <v>2.83</v>
      </c>
      <c r="M5">
        <v>56.6</v>
      </c>
      <c r="N5">
        <v>3.5</v>
      </c>
      <c r="O5">
        <v>20</v>
      </c>
      <c r="P5">
        <f t="shared" si="1"/>
        <v>40</v>
      </c>
      <c r="Q5">
        <v>2</v>
      </c>
      <c r="R5">
        <f t="shared" si="2"/>
        <v>2.83</v>
      </c>
    </row>
    <row r="6" spans="1:18">
      <c r="A6" t="s">
        <v>346</v>
      </c>
      <c r="B6" t="s">
        <v>129</v>
      </c>
      <c r="C6">
        <v>2</v>
      </c>
      <c r="D6">
        <f t="shared" si="0"/>
        <v>1.02</v>
      </c>
      <c r="J6" t="s">
        <v>344</v>
      </c>
      <c r="K6" t="s">
        <v>345</v>
      </c>
      <c r="L6">
        <v>1.7</v>
      </c>
      <c r="M6">
        <v>40.8</v>
      </c>
      <c r="N6">
        <v>1.82</v>
      </c>
      <c r="O6">
        <v>24</v>
      </c>
      <c r="P6">
        <f t="shared" si="1"/>
        <v>48</v>
      </c>
      <c r="Q6">
        <v>2</v>
      </c>
      <c r="R6">
        <f t="shared" si="2"/>
        <v>1.7</v>
      </c>
    </row>
    <row r="7" spans="1:18">
      <c r="A7" t="s">
        <v>177</v>
      </c>
      <c r="B7" t="s">
        <v>178</v>
      </c>
      <c r="C7">
        <v>32</v>
      </c>
      <c r="D7">
        <f t="shared" si="0"/>
        <v>0.81</v>
      </c>
      <c r="J7" t="s">
        <v>346</v>
      </c>
      <c r="K7" t="s">
        <v>129</v>
      </c>
      <c r="L7">
        <v>1.02</v>
      </c>
      <c r="M7">
        <v>1.02</v>
      </c>
      <c r="N7">
        <v>1.16</v>
      </c>
      <c r="O7">
        <v>1</v>
      </c>
      <c r="P7">
        <f t="shared" si="1"/>
        <v>2</v>
      </c>
      <c r="Q7">
        <v>2</v>
      </c>
      <c r="R7">
        <f t="shared" si="2"/>
        <v>1.02</v>
      </c>
    </row>
    <row r="8" spans="1:18">
      <c r="A8" t="s">
        <v>330</v>
      </c>
      <c r="B8" t="s">
        <v>331</v>
      </c>
      <c r="C8">
        <v>8</v>
      </c>
      <c r="D8">
        <f t="shared" si="0"/>
        <v>0.74</v>
      </c>
      <c r="J8" t="s">
        <v>177</v>
      </c>
      <c r="K8" t="s">
        <v>178</v>
      </c>
      <c r="L8">
        <v>0.81</v>
      </c>
      <c r="M8">
        <v>12.96</v>
      </c>
      <c r="N8">
        <v>0.92</v>
      </c>
      <c r="O8">
        <v>16</v>
      </c>
      <c r="P8">
        <f t="shared" si="1"/>
        <v>32</v>
      </c>
      <c r="Q8">
        <v>2</v>
      </c>
      <c r="R8">
        <f t="shared" si="2"/>
        <v>0.81</v>
      </c>
    </row>
    <row r="9" spans="1:18">
      <c r="A9" t="s">
        <v>347</v>
      </c>
      <c r="B9" t="s">
        <v>348</v>
      </c>
      <c r="C9">
        <v>8</v>
      </c>
      <c r="D9">
        <f t="shared" si="0"/>
        <v>0.4</v>
      </c>
      <c r="J9" t="s">
        <v>330</v>
      </c>
      <c r="K9" t="s">
        <v>331</v>
      </c>
      <c r="L9">
        <v>0.74</v>
      </c>
      <c r="M9">
        <v>2.96</v>
      </c>
      <c r="N9">
        <v>1.24</v>
      </c>
      <c r="O9">
        <v>4</v>
      </c>
      <c r="P9">
        <f t="shared" si="1"/>
        <v>8</v>
      </c>
      <c r="Q9">
        <v>2</v>
      </c>
      <c r="R9">
        <f t="shared" si="2"/>
        <v>0.74</v>
      </c>
    </row>
    <row r="10" spans="1:18">
      <c r="A10" t="s">
        <v>349</v>
      </c>
      <c r="B10" t="s">
        <v>350</v>
      </c>
      <c r="C10">
        <v>8</v>
      </c>
      <c r="D10">
        <f t="shared" si="0"/>
        <v>0.81</v>
      </c>
      <c r="J10" t="s">
        <v>347</v>
      </c>
      <c r="K10" t="s">
        <v>348</v>
      </c>
      <c r="L10">
        <v>0.4</v>
      </c>
      <c r="M10">
        <v>1.6</v>
      </c>
      <c r="N10">
        <v>0.43</v>
      </c>
      <c r="O10">
        <v>4</v>
      </c>
      <c r="P10">
        <f t="shared" si="1"/>
        <v>8</v>
      </c>
      <c r="Q10">
        <v>2</v>
      </c>
      <c r="R10">
        <f t="shared" si="2"/>
        <v>0.4</v>
      </c>
    </row>
    <row r="11" spans="1:18">
      <c r="A11" t="s">
        <v>351</v>
      </c>
      <c r="B11" t="s">
        <v>352</v>
      </c>
      <c r="C11">
        <v>2</v>
      </c>
      <c r="D11">
        <f t="shared" si="0"/>
        <v>0.34</v>
      </c>
      <c r="J11" t="s">
        <v>349</v>
      </c>
      <c r="K11" t="s">
        <v>350</v>
      </c>
      <c r="L11">
        <v>0.81</v>
      </c>
      <c r="M11">
        <v>3.24</v>
      </c>
      <c r="N11">
        <v>1.08</v>
      </c>
      <c r="O11">
        <v>4</v>
      </c>
      <c r="P11">
        <f t="shared" si="1"/>
        <v>8</v>
      </c>
      <c r="Q11">
        <v>2</v>
      </c>
      <c r="R11">
        <f t="shared" si="2"/>
        <v>0.81</v>
      </c>
    </row>
    <row r="12" spans="1:18">
      <c r="A12" t="s">
        <v>124</v>
      </c>
      <c r="B12" t="s">
        <v>125</v>
      </c>
      <c r="C12">
        <v>30</v>
      </c>
      <c r="D12">
        <f t="shared" si="0"/>
        <v>0.38</v>
      </c>
      <c r="J12" t="s">
        <v>351</v>
      </c>
      <c r="K12" t="s">
        <v>352</v>
      </c>
      <c r="L12">
        <v>0.34</v>
      </c>
      <c r="M12">
        <v>0.34</v>
      </c>
      <c r="N12">
        <v>0.38</v>
      </c>
      <c r="O12">
        <v>1</v>
      </c>
      <c r="P12">
        <f t="shared" si="1"/>
        <v>2</v>
      </c>
      <c r="Q12">
        <v>2</v>
      </c>
      <c r="R12">
        <f t="shared" si="2"/>
        <v>0.34</v>
      </c>
    </row>
    <row r="13" spans="1:18">
      <c r="A13" t="s">
        <v>353</v>
      </c>
      <c r="B13" t="s">
        <v>354</v>
      </c>
      <c r="C13">
        <v>2</v>
      </c>
      <c r="D13">
        <f t="shared" si="0"/>
        <v>0.56</v>
      </c>
      <c r="J13" t="s">
        <v>124</v>
      </c>
      <c r="K13" t="s">
        <v>125</v>
      </c>
      <c r="L13">
        <v>0.38</v>
      </c>
      <c r="M13">
        <v>5.7</v>
      </c>
      <c r="N13">
        <v>0.42</v>
      </c>
      <c r="O13">
        <v>15</v>
      </c>
      <c r="P13">
        <f t="shared" si="1"/>
        <v>30</v>
      </c>
      <c r="Q13">
        <v>2</v>
      </c>
      <c r="R13">
        <f t="shared" si="2"/>
        <v>0.38</v>
      </c>
    </row>
    <row r="14" spans="1:18">
      <c r="A14" t="s">
        <v>239</v>
      </c>
      <c r="B14" t="s">
        <v>240</v>
      </c>
      <c r="C14">
        <v>8</v>
      </c>
      <c r="D14">
        <f t="shared" si="0"/>
        <v>48.79</v>
      </c>
      <c r="J14" t="s">
        <v>353</v>
      </c>
      <c r="K14" t="s">
        <v>354</v>
      </c>
      <c r="L14">
        <v>0.56</v>
      </c>
      <c r="M14">
        <v>0.56</v>
      </c>
      <c r="N14">
        <v>0.57</v>
      </c>
      <c r="O14">
        <v>1</v>
      </c>
      <c r="P14">
        <f t="shared" si="1"/>
        <v>2</v>
      </c>
      <c r="Q14">
        <v>2</v>
      </c>
      <c r="R14">
        <f t="shared" si="2"/>
        <v>0.56</v>
      </c>
    </row>
    <row r="15" spans="1:18">
      <c r="A15" t="s">
        <v>53</v>
      </c>
      <c r="B15" t="s">
        <v>54</v>
      </c>
      <c r="C15">
        <v>2</v>
      </c>
      <c r="D15">
        <f t="shared" si="0"/>
        <v>142.13</v>
      </c>
      <c r="J15" t="s">
        <v>239</v>
      </c>
      <c r="K15" t="s">
        <v>240</v>
      </c>
      <c r="L15">
        <v>48.79</v>
      </c>
      <c r="M15">
        <v>195.16</v>
      </c>
      <c r="N15">
        <v>53.12</v>
      </c>
      <c r="O15">
        <v>4</v>
      </c>
      <c r="P15">
        <f t="shared" si="1"/>
        <v>8</v>
      </c>
      <c r="Q15">
        <v>2</v>
      </c>
      <c r="R15">
        <f t="shared" si="2"/>
        <v>48.79</v>
      </c>
    </row>
    <row r="16" spans="1:18">
      <c r="A16" t="s">
        <v>355</v>
      </c>
      <c r="B16" t="s">
        <v>72</v>
      </c>
      <c r="C16">
        <v>4</v>
      </c>
      <c r="D16">
        <f t="shared" si="0"/>
        <v>2.29</v>
      </c>
      <c r="J16" t="s">
        <v>85</v>
      </c>
      <c r="K16" t="s">
        <v>86</v>
      </c>
      <c r="L16" s="1">
        <v>6709.07</v>
      </c>
      <c r="M16">
        <v>6709.07</v>
      </c>
      <c r="N16" s="1">
        <v>7911.17</v>
      </c>
      <c r="O16">
        <v>1</v>
      </c>
      <c r="P16">
        <f t="shared" si="1"/>
        <v>2</v>
      </c>
      <c r="Q16">
        <v>2</v>
      </c>
      <c r="R16">
        <f t="shared" si="2"/>
        <v>6709.07</v>
      </c>
    </row>
    <row r="17" spans="1:18">
      <c r="A17" t="s">
        <v>71</v>
      </c>
      <c r="B17" t="s">
        <v>72</v>
      </c>
      <c r="C17">
        <v>40</v>
      </c>
      <c r="D17">
        <f t="shared" si="0"/>
        <v>2.6</v>
      </c>
      <c r="J17" t="s">
        <v>53</v>
      </c>
      <c r="K17" t="s">
        <v>54</v>
      </c>
      <c r="L17">
        <v>142.13</v>
      </c>
      <c r="M17">
        <v>142.13</v>
      </c>
      <c r="N17">
        <v>161.09</v>
      </c>
      <c r="O17">
        <v>1</v>
      </c>
      <c r="P17">
        <f t="shared" si="1"/>
        <v>2</v>
      </c>
      <c r="Q17">
        <v>2</v>
      </c>
      <c r="R17">
        <f t="shared" si="2"/>
        <v>142.13</v>
      </c>
    </row>
    <row r="18" spans="1:18">
      <c r="A18" t="s">
        <v>356</v>
      </c>
      <c r="B18" t="s">
        <v>72</v>
      </c>
      <c r="C18">
        <v>60</v>
      </c>
      <c r="D18">
        <f t="shared" si="0"/>
        <v>0.47</v>
      </c>
      <c r="J18" t="s">
        <v>355</v>
      </c>
      <c r="K18" t="s">
        <v>72</v>
      </c>
      <c r="L18">
        <v>2.29</v>
      </c>
      <c r="M18">
        <v>4.58</v>
      </c>
      <c r="N18">
        <v>2.38</v>
      </c>
      <c r="O18">
        <v>2</v>
      </c>
      <c r="P18">
        <f t="shared" si="1"/>
        <v>4</v>
      </c>
      <c r="Q18">
        <v>2</v>
      </c>
      <c r="R18">
        <f t="shared" si="2"/>
        <v>2.29</v>
      </c>
    </row>
    <row r="19" spans="1:18">
      <c r="A19" t="s">
        <v>357</v>
      </c>
      <c r="B19" t="s">
        <v>358</v>
      </c>
      <c r="C19">
        <v>8</v>
      </c>
      <c r="D19">
        <f t="shared" si="0"/>
        <v>7.28</v>
      </c>
      <c r="J19" t="s">
        <v>71</v>
      </c>
      <c r="K19" t="s">
        <v>72</v>
      </c>
      <c r="L19">
        <v>2.6</v>
      </c>
      <c r="M19">
        <v>52</v>
      </c>
      <c r="N19">
        <v>2.7</v>
      </c>
      <c r="O19">
        <v>20</v>
      </c>
      <c r="P19">
        <f t="shared" si="1"/>
        <v>40</v>
      </c>
      <c r="Q19">
        <v>2</v>
      </c>
      <c r="R19">
        <f t="shared" si="2"/>
        <v>2.6</v>
      </c>
    </row>
    <row r="20" spans="1:18">
      <c r="A20" t="s">
        <v>359</v>
      </c>
      <c r="B20" t="s">
        <v>360</v>
      </c>
      <c r="C20">
        <v>48</v>
      </c>
      <c r="D20">
        <f t="shared" si="0"/>
        <v>10.43</v>
      </c>
      <c r="J20" t="s">
        <v>356</v>
      </c>
      <c r="K20" t="s">
        <v>72</v>
      </c>
      <c r="L20">
        <v>0.47</v>
      </c>
      <c r="M20">
        <v>14.1</v>
      </c>
      <c r="N20">
        <v>0.54</v>
      </c>
      <c r="O20">
        <v>30</v>
      </c>
      <c r="P20">
        <f t="shared" si="1"/>
        <v>60</v>
      </c>
      <c r="Q20">
        <v>2</v>
      </c>
      <c r="R20">
        <f t="shared" si="2"/>
        <v>0.47</v>
      </c>
    </row>
    <row r="21" spans="1:18">
      <c r="A21" t="s">
        <v>361</v>
      </c>
      <c r="B21" t="s">
        <v>362</v>
      </c>
      <c r="C21">
        <v>8</v>
      </c>
      <c r="D21">
        <f t="shared" si="0"/>
        <v>20.35</v>
      </c>
      <c r="J21" t="s">
        <v>357</v>
      </c>
      <c r="K21" t="s">
        <v>358</v>
      </c>
      <c r="L21">
        <v>7.28</v>
      </c>
      <c r="M21">
        <v>29.12</v>
      </c>
      <c r="N21">
        <v>7.8</v>
      </c>
      <c r="O21">
        <v>4</v>
      </c>
      <c r="P21">
        <f t="shared" si="1"/>
        <v>8</v>
      </c>
      <c r="Q21">
        <v>2</v>
      </c>
      <c r="R21">
        <f t="shared" si="2"/>
        <v>7.28</v>
      </c>
    </row>
    <row r="22" spans="1:18">
      <c r="A22" t="s">
        <v>51</v>
      </c>
      <c r="B22" t="s">
        <v>52</v>
      </c>
      <c r="C22">
        <v>2</v>
      </c>
      <c r="D22">
        <f t="shared" si="0"/>
        <v>23.65</v>
      </c>
      <c r="J22" t="s">
        <v>359</v>
      </c>
      <c r="K22" t="s">
        <v>360</v>
      </c>
      <c r="L22">
        <v>10.43</v>
      </c>
      <c r="M22">
        <v>250.32</v>
      </c>
      <c r="N22">
        <v>10.53</v>
      </c>
      <c r="O22">
        <v>24</v>
      </c>
      <c r="P22">
        <f t="shared" si="1"/>
        <v>48</v>
      </c>
      <c r="Q22">
        <v>2</v>
      </c>
      <c r="R22">
        <f t="shared" si="2"/>
        <v>10.43</v>
      </c>
    </row>
    <row r="23" spans="1:18">
      <c r="A23" t="s">
        <v>363</v>
      </c>
      <c r="B23" t="s">
        <v>202</v>
      </c>
      <c r="C23">
        <v>1</v>
      </c>
      <c r="D23">
        <f t="shared" si="0"/>
        <v>2270.17</v>
      </c>
      <c r="J23" t="s">
        <v>361</v>
      </c>
      <c r="K23" t="s">
        <v>362</v>
      </c>
      <c r="L23">
        <v>20.35</v>
      </c>
      <c r="M23">
        <v>81.4</v>
      </c>
      <c r="N23">
        <v>20.43</v>
      </c>
      <c r="O23">
        <v>4</v>
      </c>
      <c r="P23">
        <f t="shared" si="1"/>
        <v>8</v>
      </c>
      <c r="Q23">
        <v>2</v>
      </c>
      <c r="R23">
        <f t="shared" si="2"/>
        <v>20.35</v>
      </c>
    </row>
    <row r="24" spans="1:18">
      <c r="J24" t="s">
        <v>51</v>
      </c>
      <c r="K24" t="s">
        <v>52</v>
      </c>
      <c r="L24">
        <v>23.65</v>
      </c>
      <c r="M24">
        <v>23.65</v>
      </c>
      <c r="N24">
        <v>26.8</v>
      </c>
      <c r="O24">
        <v>1</v>
      </c>
      <c r="P24">
        <f t="shared" si="1"/>
        <v>2</v>
      </c>
      <c r="Q24">
        <v>2</v>
      </c>
      <c r="R24">
        <f t="shared" si="2"/>
        <v>23.65</v>
      </c>
    </row>
    <row r="25" spans="1:18">
      <c r="J25" t="s">
        <v>363</v>
      </c>
      <c r="K25" t="s">
        <v>202</v>
      </c>
      <c r="L25" s="1">
        <v>2270.17</v>
      </c>
      <c r="R25">
        <f t="shared" si="2"/>
        <v>2270.17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申请明细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＆懒癌の书山压力大お</cp:lastModifiedBy>
  <dcterms:created xsi:type="dcterms:W3CDTF">2023-05-12T11:15:00Z</dcterms:created>
  <dcterms:modified xsi:type="dcterms:W3CDTF">2026-09-27T07:41:14Z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9E7628D16C7545F483FDFB2430FCB0D9_13</vt:lpwstr>
  </property>
  <property fmtid="{D5CDD505-2E9C-101B-9397-08002B2CF9AE}" pid="4" name="CalculationRule">
    <vt:i4>0</vt:i4>
  </property>
</Properties>
</file>